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io\Mi unidad (papapicolasantabarbara@gmail.com)\PAP Apicola\Ejecucion programa 2026\PLANILLAS\Diagnostico Indap\"/>
    </mc:Choice>
  </mc:AlternateContent>
  <xr:revisionPtr revIDLastSave="0" documentId="13_ncr:1_{94715B7D-F67F-4B79-876E-4497D196F0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agnóstico General" sheetId="1" r:id="rId1"/>
    <sheet name="Brechas del negocio" sheetId="2" r:id="rId2"/>
    <sheet name="descripción campos" sheetId="3" r:id="rId3"/>
    <sheet name="Base de datos" sheetId="4" r:id="rId4"/>
  </sheets>
  <definedNames>
    <definedName name="_xlnm.Print_Area" localSheetId="0">'Diagnóstico General'!$A$1:$L$84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L43" i="1"/>
  <c r="F43" i="1"/>
  <c r="H43" i="1"/>
  <c r="F44" i="1"/>
  <c r="H44" i="1"/>
  <c r="D44" i="1"/>
  <c r="D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Pavez</author>
    <author>Pavez Olivos Rodrigo</author>
  </authors>
  <commentList>
    <comment ref="D6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INDAP:</t>
        </r>
        <r>
          <rPr>
            <sz val="9"/>
            <color indexed="81"/>
            <rFont val="Tahoma"/>
            <family val="2"/>
          </rPr>
          <t xml:space="preserve">
Productividad
Calidad
Inocuidad
Acceso al mercado</t>
        </r>
      </text>
    </comment>
    <comment ref="C7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INDAP:</t>
        </r>
        <r>
          <rPr>
            <sz val="9"/>
            <color indexed="81"/>
            <rFont val="Tahoma"/>
            <family val="2"/>
          </rPr>
          <t xml:space="preserve">
colocar 0 si se encuestó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Pavez</author>
  </authors>
  <commentList>
    <comment ref="C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INDAP:</t>
        </r>
        <r>
          <rPr>
            <sz val="9"/>
            <color indexed="81"/>
            <rFont val="Tahoma"/>
            <family val="2"/>
          </rPr>
          <t xml:space="preserve">
Productividad
Calidad
Inocuidad
Acceso al mercado</t>
        </r>
      </text>
    </comment>
  </commentList>
</comments>
</file>

<file path=xl/sharedStrings.xml><?xml version="1.0" encoding="utf-8"?>
<sst xmlns="http://schemas.openxmlformats.org/spreadsheetml/2006/main" count="397" uniqueCount="275">
  <si>
    <t>A.</t>
  </si>
  <si>
    <t>ANTECEDENTES GENERALES</t>
  </si>
  <si>
    <t>Nombre</t>
  </si>
  <si>
    <t>O'Higgins</t>
  </si>
  <si>
    <t>Apellido</t>
  </si>
  <si>
    <t>Numero Encuesta</t>
  </si>
  <si>
    <t>RUT</t>
  </si>
  <si>
    <t>Teléfono</t>
  </si>
  <si>
    <t>Email</t>
  </si>
  <si>
    <t>Araucanía</t>
  </si>
  <si>
    <t>Región</t>
  </si>
  <si>
    <t>Comuna</t>
  </si>
  <si>
    <t>Área INDAP donde se atiende</t>
  </si>
  <si>
    <t>B.</t>
  </si>
  <si>
    <t>Temporada</t>
  </si>
  <si>
    <t>Cantidad Producida</t>
  </si>
  <si>
    <t>Cantidad Vendida al Poder Comprador</t>
  </si>
  <si>
    <t>Unidad</t>
  </si>
  <si>
    <t>Monto Vendido a Poder Comprador ($ pesos)</t>
  </si>
  <si>
    <t>C.</t>
  </si>
  <si>
    <t>D.</t>
  </si>
  <si>
    <t>Observaciones</t>
  </si>
  <si>
    <t>No entrega o contesta información</t>
  </si>
  <si>
    <t>No se encuestó</t>
  </si>
  <si>
    <t>No estuvo ubicable</t>
  </si>
  <si>
    <t>No posee información</t>
  </si>
  <si>
    <t>Usuario renunció al programa</t>
  </si>
  <si>
    <t>Otro</t>
  </si>
  <si>
    <t>Notas</t>
  </si>
  <si>
    <t>Fecha de Nacimiento</t>
  </si>
  <si>
    <t>Nivel Educacional</t>
  </si>
  <si>
    <t>Genero</t>
  </si>
  <si>
    <t>Certificación</t>
  </si>
  <si>
    <t>Tipo de manejo</t>
  </si>
  <si>
    <t>¿Posee Iniciación de actividades? (S/N)</t>
  </si>
  <si>
    <t>Tipo de tributación (Presunta/Efectiva)</t>
  </si>
  <si>
    <t>¿Productor habilitado para comercializar al Poder Comprador? (S/N)</t>
  </si>
  <si>
    <t>Arica-Parinacota</t>
  </si>
  <si>
    <t>Tarapacá</t>
  </si>
  <si>
    <t>Antofagasta</t>
  </si>
  <si>
    <t>Atacama</t>
  </si>
  <si>
    <t>Coquimbo</t>
  </si>
  <si>
    <t>Valparaíso</t>
  </si>
  <si>
    <t>Metropolitana</t>
  </si>
  <si>
    <t>Variedad/Raza</t>
  </si>
  <si>
    <t>Epoca de cosecha/producto para venta (rango meses-Todo el año)</t>
  </si>
  <si>
    <t>Resumen Negocio Productor</t>
  </si>
  <si>
    <t>Ingresos Totales Explotación ($)</t>
  </si>
  <si>
    <t>Costo de Producción Explotación ($)</t>
  </si>
  <si>
    <t>Margen Bruto ($)</t>
  </si>
  <si>
    <t>Estandar 1</t>
  </si>
  <si>
    <t>Tipos de estandar</t>
  </si>
  <si>
    <t>Estándar 2</t>
  </si>
  <si>
    <t>Estándar 3</t>
  </si>
  <si>
    <t>Cumple (S/N)</t>
  </si>
  <si>
    <t>Tipo (Productividad/Calidad/ Inocuidad/Comercial)</t>
  </si>
  <si>
    <t>Nivel Productivo</t>
  </si>
  <si>
    <t>Nivel Calidad e inocuidad</t>
  </si>
  <si>
    <t>Nivel Comercial</t>
  </si>
  <si>
    <t>Tipo</t>
  </si>
  <si>
    <t>Propuesta de solución</t>
  </si>
  <si>
    <t>¿Requiere inversión?</t>
  </si>
  <si>
    <t>Pueblo Originario</t>
  </si>
  <si>
    <t>Puntos Críticos</t>
  </si>
  <si>
    <t>Principales Puntos Críticos detectados, para que Usuario sea Proveedor Estable de la Empresa.</t>
  </si>
  <si>
    <t>En caso que usuario requiera inversión, deberá estar contemplado en el Plan de Inversión.</t>
  </si>
  <si>
    <t xml:space="preserve">Programa que participa en INDAP </t>
  </si>
  <si>
    <t>Poder Comprador (EMPRESA)</t>
  </si>
  <si>
    <t>Rubro o Negocio con Poder Comprador</t>
  </si>
  <si>
    <t>Dirección Propiedad</t>
  </si>
  <si>
    <t>Dirección Predio principal</t>
  </si>
  <si>
    <t>Unidad Operativa</t>
  </si>
  <si>
    <t>Nombre Encuestador</t>
  </si>
  <si>
    <t>FORMALIZACIÓN DEL NEGOCIO</t>
  </si>
  <si>
    <t>CARACTERIZACIÓN SISTEMA PRODUCTIVO</t>
  </si>
  <si>
    <t>CUMPLIMIENTO DE ESTÁNDARES DEL PODER COMPRADOR Y MERCADO</t>
  </si>
  <si>
    <t>E.</t>
  </si>
  <si>
    <t>PRINCIPALES PUNTOS CRÍTICOS DETECTADOS, PARA QUE USUARIO SEA PROVEEDOR ESTABLE DEL PODER COMPRADOR</t>
  </si>
  <si>
    <t>Número</t>
  </si>
  <si>
    <t>Campo</t>
  </si>
  <si>
    <t>Explicación</t>
  </si>
  <si>
    <t>Indicar Nombre o Nombres de la Persona Encuestada</t>
  </si>
  <si>
    <t>Indicar los Apellidos de la Persona Encuestada</t>
  </si>
  <si>
    <t>Colocar RUT sin puntos y CON guión. EJ: 12345647-8</t>
  </si>
  <si>
    <t>Nueve dígitos  ej 998832810</t>
  </si>
  <si>
    <t>email</t>
  </si>
  <si>
    <t>Ejemplo: correo@mimail.com</t>
  </si>
  <si>
    <t>Indicar nombre, no el número de Región. En planilla Excel se despliega una lista.</t>
  </si>
  <si>
    <t>Indicar comuna donde está el negocio del Usuario</t>
  </si>
  <si>
    <t>Área</t>
  </si>
  <si>
    <t>Indicar área de atención, o centro de Responsabilidad.</t>
  </si>
  <si>
    <t>Poder Comprador</t>
  </si>
  <si>
    <t>Rubro o Negocio Comercializado</t>
  </si>
  <si>
    <t>Señalar el Rubro o Negocio que el Usuario comercializa al Poder Comprador. Ej. Frambuesa, Leche, Miel.</t>
  </si>
  <si>
    <t>Número de encuesta</t>
  </si>
  <si>
    <t>Indicar el número correspondiente al listado realizado previo al proceso de encuestar.</t>
  </si>
  <si>
    <t xml:space="preserve">Indicar cuál es la unidad usada en el número señalado en cantidades. KG, LT, N° animales, N° de servicios prestados, N° de contratos suscritos, N° de productos vendidos, N° de Ton Metricas limpias, etc. </t>
  </si>
  <si>
    <t>Lo importante es que sea comun a todos los usuarios de la alianza de la empresa y los años encuestados</t>
  </si>
  <si>
    <t>En la celda en blanco se coloca el numero de estas opciones, teniendo en cuenta colocar “0” si fue encuestado.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</si>
  <si>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  <scheme val="minor"/>
      </rPr>
      <t>No entrega o contesta información: El usuario se contactó y no estuvo dispuesto a responder.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</si>
  <si>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  <scheme val="minor"/>
      </rPr>
      <t>No estuvo ubicable: Luego de varios intentos, no se pudo ubicar al usuario.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</si>
  <si>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  <scheme val="minor"/>
      </rPr>
      <t>Usuario renunció al programa: Usuario si bien está en el listado inicial, ya renunció al programa o fue retirado del mismo, no teniendo información disponible para contestar.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</si>
  <si>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  <scheme val="minor"/>
      </rPr>
      <t>Otro, alguna causal no descrita anteriormente. En este caso, colocar una breve nota, ítem 26.</t>
    </r>
  </si>
  <si>
    <t>Colocar notas que a juicio del encuestador sea relevante mencionar.</t>
  </si>
  <si>
    <t>Los Ríos</t>
  </si>
  <si>
    <t>Los Lagos</t>
  </si>
  <si>
    <t>Aysén</t>
  </si>
  <si>
    <t>Magallanes</t>
  </si>
  <si>
    <t>Nombre de la Empresa de Alianza.</t>
  </si>
  <si>
    <t>Dirección Predio Principal</t>
  </si>
  <si>
    <t>Indicar dirección donde habita usuario</t>
  </si>
  <si>
    <t>Indicar dirección donde está el predio. Se puede colocar también coordenadas</t>
  </si>
  <si>
    <t>Fecha de nacimiento</t>
  </si>
  <si>
    <t>DD/MM/AAAA</t>
  </si>
  <si>
    <t>Género</t>
  </si>
  <si>
    <t>Hombre/Mujer/No responde/no aplica</t>
  </si>
  <si>
    <t>Pueblo originario del cual el usuario forma parte o se identifica. (Ej:Mapuche, Aymará)</t>
  </si>
  <si>
    <t>Nivel que llegó el usuario. Ed.Basíca/Media/Técnico/Universitaria</t>
  </si>
  <si>
    <t>Nombre que identifica la unidad operativa según Poder Comprador. (Ej: UO Berries longaví)</t>
  </si>
  <si>
    <t>Programa que participa en INDAP</t>
  </si>
  <si>
    <t>Indicar si el usuario está en SAT/PRODESAL/PDTI/PADIS/PRODEMU</t>
  </si>
  <si>
    <t>fecha encuesta</t>
  </si>
  <si>
    <t>Fecha encuesta</t>
  </si>
  <si>
    <t>Superficie cultivada (ha) /Total Inventario Animal (N°)/Total Colmenas (N°)</t>
  </si>
  <si>
    <t>S: Si posee Iniciación
N: No posee iniciación</t>
  </si>
  <si>
    <t>Indicar si tiene renta presunta o efectiva</t>
  </si>
  <si>
    <t>S: Productor actualmente puede comercializar al poder comprador.
N: Productor no puede comercializar al poder comprador en estos momentos, ya sea porque no cumple los estándares requeridos o faltan aspectos legales o comerciales que impiden al poder comprador comprarle. (Ej. no cultiva variedad, no tiene factura, etc.)</t>
  </si>
  <si>
    <t>Variedad de la especie principal. Ej: Dolomia.</t>
  </si>
  <si>
    <t>Definir un rango de venta de cosecha o venta del producto principal. Ej: Febrero-Abril. O en leche: Todo el año.</t>
  </si>
  <si>
    <t>Indicar si es convencional, Orgánico, Producción Integral, Biodinámico, Natural, según el rubro involucrado</t>
  </si>
  <si>
    <t>Indicar si posee certificación, cual o cuales: Global GAP, US GAP, Orgánico, etc.</t>
  </si>
  <si>
    <t>35-36</t>
  </si>
  <si>
    <t>ver 25, aplicable a especie secundaria</t>
  </si>
  <si>
    <t>ver 26, aplicable a especie secundaria</t>
  </si>
  <si>
    <t>ver 27, aplicable a especie secundaria</t>
  </si>
  <si>
    <t>ver 28, aplicable a especie secundaria</t>
  </si>
  <si>
    <t>ver 29, aplicable a especie secundaria</t>
  </si>
  <si>
    <t>ver 30, aplicable a especie secundaria</t>
  </si>
  <si>
    <t>ver 31, aplicable a especie secundaria</t>
  </si>
  <si>
    <t>ver 32, aplicable a especie secundaria</t>
  </si>
  <si>
    <t>ver 33, aplicable a especie secundaria</t>
  </si>
  <si>
    <t>ver 34, aplicable a especie secundaria</t>
  </si>
  <si>
    <t>ver 35-36, aplicable a especie secundaria</t>
  </si>
  <si>
    <t>ver 37, aplicable a especie secundaria</t>
  </si>
  <si>
    <t>ver 38, aplicable a especie secundaria</t>
  </si>
  <si>
    <t>Suma de especie principal y secundaria, solo si poseen misma unidad y es util para efectos del diagnóstico</t>
  </si>
  <si>
    <t>ver 35-36 solo si es misma unidad</t>
  </si>
  <si>
    <t>Costo de Producción Explotación</t>
  </si>
  <si>
    <t>Todos los ingresos directos que provienen de la comercialización del rubro principal y secundario</t>
  </si>
  <si>
    <t>Suma de costos directos del rubro principal y secundario.</t>
  </si>
  <si>
    <t>Ingresos Totales Explotación</t>
  </si>
  <si>
    <t>Ingresos totales menos costos de producción explotación</t>
  </si>
  <si>
    <t>Estándares 1, 2, 3</t>
  </si>
  <si>
    <t>Tipo de estandar</t>
  </si>
  <si>
    <t>Si el estándar descrito es de inocuidad, calidad, productividad o comercial</t>
  </si>
  <si>
    <t>S: Cumple con el estándar descrito
N: No cumple con el estándar descrito</t>
  </si>
  <si>
    <t>Breve descripción de los 3 principales estándares del poder comprador que condicionan la compra del producto o permiten un mejor precio a pagar. Ej: 1. %IQF sobre 80%. 2. Cumplimiento pauta BPA sobre 70 pts. 3. Venta con factura del productor</t>
  </si>
  <si>
    <t>Nivel Calidad e Inocuidad</t>
  </si>
  <si>
    <t>Definir Nivel ALTO-MEDIO-BAJO del Productor, según visión del Poder Comprador.</t>
  </si>
  <si>
    <t>Definir máximo 5 puntos críticos que posee el negocio del productor. Ej: Bajos rendimientos, Mala calidad de materia prima, Falta infraestructura, Sin apoyo contable, etc.</t>
  </si>
  <si>
    <t>Clasificación del punto crítico, en alguno de estos: Productividad, Calidad, Inocuidad, Acceso al Mercado</t>
  </si>
  <si>
    <t>Solución propuesta por el Poder Comprador, que ayudará posteriormente a definir que tipo de apoyo debe recibir el productor. (asesoría técnica, inversión, crédito, etc.)</t>
  </si>
  <si>
    <t>Indicar si requiere definiendo alguno de estos 3 grandes items (equipamiento, infrestraestructura, insumo). No es vinculante para entregar una inversión, sino solo detectar la necesidad y que sirva para que el Poder Comprador realice el Plan de Inversión. Ej: SI-Infraestructura-Bodega.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</si>
  <si>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Calibri"/>
        <family val="2"/>
        <scheme val="minor"/>
      </rPr>
      <t>No posee información: Ni el Poder Comprador ni el usuario tienen información cuantitativa solicitada.</t>
    </r>
  </si>
  <si>
    <t>F.</t>
  </si>
  <si>
    <t>Especie o Producto Principal</t>
  </si>
  <si>
    <t>Especie o Producto Secundario</t>
  </si>
  <si>
    <t>Aquel que comercializa o lo hará a través de la Alianza. Ej: Frambuesa, Miel, Ovinos</t>
  </si>
  <si>
    <t>Cual es la especie o Producto de segunda importancia en el negocio del productor</t>
  </si>
  <si>
    <t>Maule</t>
  </si>
  <si>
    <t>Ñuble</t>
  </si>
  <si>
    <t>Biobío</t>
  </si>
  <si>
    <t>E1 Especie o Producto Principal</t>
  </si>
  <si>
    <t>E2 Variedad/Raza</t>
  </si>
  <si>
    <t>E1 Variedad/Raza</t>
  </si>
  <si>
    <t>E1 Epoca de cosecha/producto para venta (rango meses-Todo el año)</t>
  </si>
  <si>
    <t>E1 Tipo de manejo</t>
  </si>
  <si>
    <t>E1 Certificación</t>
  </si>
  <si>
    <t>E2 Especie o Producto Secundario</t>
  </si>
  <si>
    <t>E2 Epoca de cosecha/producto para venta (rango meses-Todo el año)</t>
  </si>
  <si>
    <t>E2 Tipo de manejo</t>
  </si>
  <si>
    <t>E2 Certificación</t>
  </si>
  <si>
    <t>Especie Principal (E1)</t>
  </si>
  <si>
    <t>Especie Secundaria (E2)</t>
  </si>
  <si>
    <t>Totales (T)</t>
  </si>
  <si>
    <t>1 Tipo (Productividad/Calidad/ Inocuidad/Comercial)</t>
  </si>
  <si>
    <t>2 Tipo (Productividad/Calidad/ Inocuidad/Comercial)</t>
  </si>
  <si>
    <t>3 Tipo (Productividad/Calidad/ Inocuidad/Comercial)</t>
  </si>
  <si>
    <t>1 Cumple estandar</t>
  </si>
  <si>
    <t>2 Cumple estandar</t>
  </si>
  <si>
    <t>3 Cumple estandar</t>
  </si>
  <si>
    <t>Punto crítico 1</t>
  </si>
  <si>
    <t>Punto crítico 2</t>
  </si>
  <si>
    <t>Punto crítico 3</t>
  </si>
  <si>
    <t>Punto crítico 4</t>
  </si>
  <si>
    <t>Punto crítico 5</t>
  </si>
  <si>
    <t>tipo 1</t>
  </si>
  <si>
    <t>tipo 2</t>
  </si>
  <si>
    <t>tipo 3</t>
  </si>
  <si>
    <t>Puntos Críticos (PC)</t>
  </si>
  <si>
    <t>Tipo PC</t>
  </si>
  <si>
    <t>1 tipo PC</t>
  </si>
  <si>
    <t>2 tipo PC</t>
  </si>
  <si>
    <t>3 tipo PC</t>
  </si>
  <si>
    <t>4 tipo PC</t>
  </si>
  <si>
    <t>5 tipo PC</t>
  </si>
  <si>
    <t>1 prop solución</t>
  </si>
  <si>
    <t>2 prop solución</t>
  </si>
  <si>
    <t>3 prop solución</t>
  </si>
  <si>
    <t>4 prop solución</t>
  </si>
  <si>
    <t>5 prop solución</t>
  </si>
  <si>
    <t>1 ¿Requiere inversión?</t>
  </si>
  <si>
    <t>2 ¿Requiere inversión?</t>
  </si>
  <si>
    <t>3 ¿Requiere inversión?</t>
  </si>
  <si>
    <t>4 ¿Requiere inversión?</t>
  </si>
  <si>
    <t>5 ¿Requiere inversión?</t>
  </si>
  <si>
    <t>Nota</t>
  </si>
  <si>
    <t>ENCUESTA DIAGNÓSTICO PROGRAMA ALIANZAS PRODUCTIVAS INDAP</t>
  </si>
  <si>
    <t>Año 2023 o Temporada 2023/2024</t>
  </si>
  <si>
    <t>Superficie producida /total inventario animal/Total Colmenas año 2023</t>
  </si>
  <si>
    <t>Cantidad Vendida al Poder Comprador año 2023 o Temporada 2023-2024</t>
  </si>
  <si>
    <t>Monto Vendido al Poder Comprador ($pesos) año 2023 o Temporada 2023-2024</t>
  </si>
  <si>
    <t>Cantidad Producida año 2023 o Temporada 2023/2024</t>
  </si>
  <si>
    <t>Total Superficie producida /total inventario animal/Total Colmenas año 2023</t>
  </si>
  <si>
    <t>Total Cantidad Vendida al Poder Comprador año 2023 o Temporada 2023-2024</t>
  </si>
  <si>
    <t>Total Monto Vendido al Poder Comprador ($pesos) año 2023 o Temporada 2023-2024</t>
  </si>
  <si>
    <t>Año 2024 o Temporada 2024/2025</t>
  </si>
  <si>
    <t>Cantidad Producida año 2024 o Temporada 2024-2025</t>
  </si>
  <si>
    <t>Cantidad Vendida al Poder Comprador año 2024 o Temporada 2024-2025</t>
  </si>
  <si>
    <t>Monto Vendido al Poder Comprador ($pesos) año 2024 o Temporada 2024-2025</t>
  </si>
  <si>
    <t>Superficie producida /total inventario animal/Total Colmenas año 2024</t>
  </si>
  <si>
    <t>Indicar la cantidad total de há destinadas al negocio de alianza, o total de animales en inventario o total de colmenas. Si no aplica alguna de éstas al rubro, colocar la descripción del dato que mejor describe la totalidad del negocio. Año 2023 o temporada 2023/2024</t>
  </si>
  <si>
    <t>Indicar la cantidad total de há destinadas al negocio de alianza, o total de animales en inventario o total de colmenas. Si no aplica alguna de éstas al rubro, colocar la descripción del dato que mejor describe la totalidad del negocio. Año 2024 o  temporada 2024/2025</t>
  </si>
  <si>
    <t>Cantidad Producida por el usuario en el rubro principal que está en alianza, ya sea durante el año 2023 (Enero a Dic) como podría ser en Rubro Leche. O bien, por Temporada Agrícola/Comercial 2023/2024, tomando meses de mayo 2023 a abril 2024, como podría ser en Berries. Independiente si usar año calendario o temporada, es importante que se tome la misma referencia para el grupo de entrevistados de la alianza y también la misma para la siguiente consulta respecto a Cantidad Producida.</t>
  </si>
  <si>
    <t>Cantidad Producida por el usuario en el rubro principal que está en alianza, ya sea durante el año 2024 (Enero a Dic) como podría ser en Rubro Leche. O bien, por Temporada Agrícola/Comercial 2024-2025, tomando meses de mayo 2024 a abril 2025, como podría ser en Berries. Independiente si usar año calendario o temporada, es importante que se tome la misma referencia para el grupo de entrevistados de la alianza y también la misma para la anterior consulta respecto a Cantidad Producida.</t>
  </si>
  <si>
    <t>Cantidad Vendida por el usuario al Poder Comprador, ya sea durante el año 2023 (Enero a Dic) como podría ser en Rubro Leche. O bien, por Temporada Agrícola/Comercial 2023-2024, tomando meses de mayo 2023 a abril 2024, como podría ser en Berries. Independiente si usar año calendario o temporada, es importante que se tome la misma referencia para el grupo de entrevistados de la alianza y también la misma para la siguiente consulta respecto a Cantidad Vendida. Si aún no finaliza temporada, se puede colocar la producción a la fecha del diagnóstico, solo en el caso que al Poder Comprador le sirva la información.</t>
  </si>
  <si>
    <t>Cantidad Vendida por el usuario al Poder Comprador, ya sea durante el año 2024 (Enero a Dic) como podría ser en Rubro Leche. O bien, por Temporada Agrícola/Comercial 2024-2025, tomando meses de mayo 2024 a abril 2025, como podría ser en Berries. Independiente si usar año calendario o temporada, es importante que se tome la misma referencia para el grupo de entrevistados de la alianza y también la misma para la anterior consulta respecto a Cantidad Vendida.</t>
  </si>
  <si>
    <t>Valor total de Ventas al Poder Comprador, expresado en $ pesos chilenos, ya sea por año calendario 2023 o por Temporada 2023/2024, bajo los mismos supuestos que ítems de cantidades descritos en N° 33 y 34 de encuesta.</t>
  </si>
  <si>
    <t>Valor total de Ventas al Poder Comprador, expresado en $ pesos chilenos, ya sea por año calendario 2024 o por Temporada 2024/2025, bajo los mismos supuestos que ítems de cantidades descritos en N° 33 y 34 de encuesta</t>
  </si>
  <si>
    <t>Cantidad Producida año 2024 o Temporada 2024/2025</t>
  </si>
  <si>
    <t>Total Superficie producida /total inventario animal/Total Colmenas año 2024</t>
  </si>
  <si>
    <t>Total Cantidad Producida año 2024 o Temporada 2024-2025</t>
  </si>
  <si>
    <t>Total Cantidad Vendida al Poder Comprador año 2024 o Temporada 2024-2025</t>
  </si>
  <si>
    <t>Total Monto Vendido al Poder Comprador ($pesos) año 2024 o Temporada 2024-2025</t>
  </si>
  <si>
    <t>Total Cantidad Producida año 2023 o Temporada 2023/2024</t>
  </si>
  <si>
    <t>2023 E1 Superficie cultivada (ha) /Total Inventario Animal (N°)/Total Colmenas (N°)</t>
  </si>
  <si>
    <t>2024 E1 Superficie cultivada (ha) /Total Inventario Animal (N°)/Total Colmenas (N°)</t>
  </si>
  <si>
    <t>2023 E1 Cantidad Producida</t>
  </si>
  <si>
    <t>2024 E1 Cantidad Producida</t>
  </si>
  <si>
    <t>2023 E1 Cantidad Vendida al Poder Comprador</t>
  </si>
  <si>
    <t>2024 E1 Cantidad Vendida al Poder Comprador</t>
  </si>
  <si>
    <t>2023 E1 Unidad</t>
  </si>
  <si>
    <t>2024 E1 Unidad</t>
  </si>
  <si>
    <t>2023 E1 Monto Vendido a Poder Comprador ($ pesos)</t>
  </si>
  <si>
    <t>2024 E1 Monto Vendido a Poder Comprador ($ pesos)</t>
  </si>
  <si>
    <t>2023 E2 Superficie cultivada (ha) /Total Inventario Animal (N°)/Total Colmenas (N°)</t>
  </si>
  <si>
    <t>2024 E2 Superficie cultivada (ha) /Total Inventario Animal (N°)/Total Colmenas (N°)</t>
  </si>
  <si>
    <t>2023 E2 Cantidad Producida</t>
  </si>
  <si>
    <t>2024 E2 Cantidad Producida</t>
  </si>
  <si>
    <t>2023 E2 Cantidad Vendida al Poder Comprador</t>
  </si>
  <si>
    <t>2024 E2 Cantidad Vendida al Poder Comprador</t>
  </si>
  <si>
    <t>2023 E2 Unidad</t>
  </si>
  <si>
    <t>2024 E2 Unidad</t>
  </si>
  <si>
    <t>2023 E2 Monto Vendido a Poder Comprador ($ pesos)</t>
  </si>
  <si>
    <t>2024 E2 Monto Vendido a Poder Comprador ($ pesos)</t>
  </si>
  <si>
    <t>2023 T Superficie cultivada (ha) /Total Inventario Animal (N°)/Total Colmenas (N°)</t>
  </si>
  <si>
    <t>2024 T Superficie cultivada (ha) /Total Inventario Animal (N°)/Total Colmenas (N°)</t>
  </si>
  <si>
    <t>2023 T Cantidad Producida</t>
  </si>
  <si>
    <t>2024 T Cantidad Producida</t>
  </si>
  <si>
    <t>2023 T Cantidad Vendida al Poder Comprador</t>
  </si>
  <si>
    <t>2024 T Cantidad Vendida al Poder Comprador</t>
  </si>
  <si>
    <t>2023 T Unidad</t>
  </si>
  <si>
    <t>2024 T Unidad</t>
  </si>
  <si>
    <t>2023 T Monto Vendido a Poder Comprador ($ pesos)</t>
  </si>
  <si>
    <t>2024 T Monto Vendido a Poder Comprador ($ pesos)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</si>
</sst>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Symbol"/>
      <family val="1"/>
      <charset val="2"/>
    </font>
    <font>
      <sz val="12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3" xfId="0" applyFill="1" applyBorder="1"/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wrapText="1"/>
    </xf>
    <xf numFmtId="0" fontId="0" fillId="2" borderId="0" xfId="0" applyFill="1"/>
    <xf numFmtId="0" fontId="0" fillId="2" borderId="5" xfId="0" applyFill="1" applyBorder="1"/>
    <xf numFmtId="0" fontId="3" fillId="2" borderId="4" xfId="0" applyFont="1" applyFill="1" applyBorder="1" applyAlignment="1">
      <alignment horizontal="center"/>
    </xf>
    <xf numFmtId="0" fontId="0" fillId="2" borderId="6" xfId="0" applyFill="1" applyBorder="1"/>
    <xf numFmtId="0" fontId="3" fillId="2" borderId="0" xfId="0" applyFont="1" applyFill="1"/>
    <xf numFmtId="0" fontId="0" fillId="0" borderId="0" xfId="0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0" fillId="2" borderId="6" xfId="0" applyFill="1" applyBorder="1" applyAlignment="1">
      <alignment wrapText="1"/>
    </xf>
    <xf numFmtId="41" fontId="0" fillId="2" borderId="6" xfId="1" applyFont="1" applyFill="1" applyBorder="1"/>
    <xf numFmtId="42" fontId="0" fillId="2" borderId="7" xfId="2" applyFont="1" applyFill="1" applyBorder="1"/>
    <xf numFmtId="0" fontId="0" fillId="2" borderId="9" xfId="0" applyFill="1" applyBorder="1" applyAlignment="1">
      <alignment wrapText="1"/>
    </xf>
    <xf numFmtId="0" fontId="3" fillId="2" borderId="10" xfId="0" applyFont="1" applyFill="1" applyBorder="1"/>
    <xf numFmtId="41" fontId="0" fillId="2" borderId="9" xfId="1" applyFont="1" applyFill="1" applyBorder="1"/>
    <xf numFmtId="0" fontId="0" fillId="2" borderId="11" xfId="0" applyFill="1" applyBorder="1" applyAlignment="1">
      <alignment wrapText="1"/>
    </xf>
    <xf numFmtId="0" fontId="0" fillId="2" borderId="12" xfId="0" applyFill="1" applyBorder="1"/>
    <xf numFmtId="0" fontId="0" fillId="2" borderId="14" xfId="0" applyFill="1" applyBorder="1"/>
    <xf numFmtId="0" fontId="0" fillId="3" borderId="15" xfId="0" applyFill="1" applyBorder="1"/>
    <xf numFmtId="0" fontId="0" fillId="2" borderId="16" xfId="0" applyFill="1" applyBorder="1" applyAlignment="1">
      <alignment wrapText="1"/>
    </xf>
    <xf numFmtId="0" fontId="0" fillId="2" borderId="0" xfId="0" applyFill="1" applyAlignment="1">
      <alignment horizontal="left"/>
    </xf>
    <xf numFmtId="0" fontId="2" fillId="2" borderId="16" xfId="0" applyFont="1" applyFill="1" applyBorder="1" applyAlignment="1">
      <alignment wrapText="1"/>
    </xf>
    <xf numFmtId="9" fontId="0" fillId="0" borderId="0" xfId="3" applyFont="1"/>
    <xf numFmtId="0" fontId="0" fillId="2" borderId="13" xfId="0" applyFill="1" applyBorder="1" applyAlignment="1">
      <alignment wrapText="1"/>
    </xf>
    <xf numFmtId="0" fontId="0" fillId="2" borderId="15" xfId="0" applyFill="1" applyBorder="1"/>
    <xf numFmtId="0" fontId="0" fillId="2" borderId="17" xfId="0" applyFill="1" applyBorder="1" applyAlignment="1">
      <alignment wrapText="1"/>
    </xf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wrapText="1"/>
    </xf>
    <xf numFmtId="0" fontId="0" fillId="2" borderId="21" xfId="0" applyFill="1" applyBorder="1"/>
    <xf numFmtId="0" fontId="0" fillId="2" borderId="2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6" xfId="0" applyBorder="1"/>
    <xf numFmtId="0" fontId="6" fillId="0" borderId="0" xfId="0" applyFont="1" applyAlignment="1">
      <alignment horizontal="left" vertical="center" indent="4"/>
    </xf>
    <xf numFmtId="0" fontId="7" fillId="0" borderId="0" xfId="0" applyFont="1" applyAlignment="1">
      <alignment horizontal="left" vertical="center" indent="2"/>
    </xf>
    <xf numFmtId="0" fontId="3" fillId="2" borderId="16" xfId="0" applyFont="1" applyFill="1" applyBorder="1"/>
    <xf numFmtId="0" fontId="3" fillId="2" borderId="6" xfId="0" applyFont="1" applyFill="1" applyBorder="1"/>
    <xf numFmtId="0" fontId="3" fillId="0" borderId="0" xfId="0" applyFont="1"/>
    <xf numFmtId="0" fontId="0" fillId="2" borderId="14" xfId="0" applyFill="1" applyBorder="1" applyAlignment="1">
      <alignment wrapText="1"/>
    </xf>
    <xf numFmtId="41" fontId="0" fillId="2" borderId="0" xfId="1" applyFont="1" applyFill="1" applyBorder="1"/>
    <xf numFmtId="41" fontId="0" fillId="2" borderId="14" xfId="1" applyFont="1" applyFill="1" applyBorder="1"/>
    <xf numFmtId="42" fontId="0" fillId="2" borderId="5" xfId="2" applyFont="1" applyFill="1" applyBorder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center"/>
    </xf>
    <xf numFmtId="41" fontId="0" fillId="0" borderId="0" xfId="1" applyFont="1" applyFill="1" applyBorder="1"/>
    <xf numFmtId="0" fontId="2" fillId="3" borderId="8" xfId="0" applyFont="1" applyFill="1" applyBorder="1" applyAlignment="1">
      <alignment wrapText="1"/>
    </xf>
    <xf numFmtId="14" fontId="0" fillId="2" borderId="7" xfId="0" applyNumberFormat="1" applyFill="1" applyBorder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3" borderId="6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3" borderId="6" xfId="0" applyFont="1" applyFill="1" applyBorder="1"/>
    <xf numFmtId="0" fontId="0" fillId="2" borderId="4" xfId="0" applyFill="1" applyBorder="1" applyAlignment="1">
      <alignment horizontal="right"/>
    </xf>
    <xf numFmtId="0" fontId="0" fillId="2" borderId="10" xfId="0" applyFill="1" applyBorder="1"/>
    <xf numFmtId="0" fontId="2" fillId="2" borderId="17" xfId="0" applyFont="1" applyFill="1" applyBorder="1" applyAlignment="1">
      <alignment wrapText="1"/>
    </xf>
    <xf numFmtId="0" fontId="0" fillId="2" borderId="6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/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 wrapText="1"/>
    </xf>
    <xf numFmtId="0" fontId="0" fillId="4" borderId="0" xfId="0" applyFill="1"/>
    <xf numFmtId="0" fontId="0" fillId="4" borderId="5" xfId="0" applyFill="1" applyBorder="1"/>
    <xf numFmtId="0" fontId="0" fillId="4" borderId="0" xfId="0" applyFill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right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wrapText="1"/>
    </xf>
    <xf numFmtId="0" fontId="0" fillId="4" borderId="6" xfId="0" applyFill="1" applyBorder="1"/>
    <xf numFmtId="0" fontId="2" fillId="3" borderId="6" xfId="0" applyFont="1" applyFill="1" applyBorder="1" applyAlignment="1">
      <alignment horizontal="center" wrapText="1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0" fontId="2" fillId="5" borderId="6" xfId="0" applyFont="1" applyFill="1" applyBorder="1" applyAlignment="1">
      <alignment wrapText="1"/>
    </xf>
    <xf numFmtId="0" fontId="2" fillId="5" borderId="6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left" wrapText="1"/>
    </xf>
    <xf numFmtId="0" fontId="2" fillId="3" borderId="14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wrapText="1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center" wrapText="1"/>
    </xf>
    <xf numFmtId="0" fontId="11" fillId="0" borderId="9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right" vertical="center" wrapText="1"/>
    </xf>
    <xf numFmtId="0" fontId="0" fillId="0" borderId="6" xfId="0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</cellXfs>
  <cellStyles count="4">
    <cellStyle name="Millares [0]" xfId="1" builtinId="6"/>
    <cellStyle name="Moneda [0]" xfId="2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T84"/>
  <sheetViews>
    <sheetView tabSelected="1" topLeftCell="A9" zoomScale="70" zoomScaleNormal="70" zoomScaleSheetLayoutView="30" workbookViewId="0">
      <selection activeCell="B64" sqref="B64"/>
    </sheetView>
  </sheetViews>
  <sheetFormatPr baseColWidth="10" defaultRowHeight="15" x14ac:dyDescent="0.25"/>
  <cols>
    <col min="1" max="1" width="10.85546875" style="38"/>
    <col min="2" max="2" width="35" style="39" customWidth="1"/>
    <col min="3" max="3" width="5.7109375" customWidth="1"/>
    <col min="4" max="4" width="27.28515625" customWidth="1"/>
    <col min="5" max="5" width="5.7109375" customWidth="1"/>
    <col min="6" max="6" width="23.28515625" bestFit="1" customWidth="1"/>
    <col min="7" max="7" width="4.7109375" customWidth="1"/>
    <col min="8" max="8" width="20.28515625" customWidth="1"/>
    <col min="9" max="9" width="5.28515625" customWidth="1"/>
    <col min="10" max="10" width="12.140625" customWidth="1"/>
    <col min="11" max="11" width="5" customWidth="1"/>
    <col min="12" max="12" width="22.7109375" customWidth="1"/>
    <col min="17" max="17" width="14.7109375" customWidth="1"/>
  </cols>
  <sheetData>
    <row r="1" spans="1:20" ht="30" customHeight="1" x14ac:dyDescent="0.25">
      <c r="A1" s="1"/>
      <c r="B1" s="107" t="s">
        <v>217</v>
      </c>
      <c r="C1" s="107"/>
      <c r="D1" s="107"/>
      <c r="E1" s="107"/>
      <c r="F1" s="107"/>
      <c r="G1" s="107"/>
      <c r="H1" s="107"/>
      <c r="I1" s="107"/>
      <c r="J1" s="107"/>
      <c r="K1" s="107"/>
      <c r="L1" s="2"/>
    </row>
    <row r="2" spans="1:20" s="73" customFormat="1" x14ac:dyDescent="0.25">
      <c r="A2" s="77" t="s">
        <v>0</v>
      </c>
      <c r="B2" s="78" t="s">
        <v>1</v>
      </c>
      <c r="C2" s="79"/>
      <c r="D2" s="79"/>
      <c r="F2" s="79"/>
      <c r="G2" s="79"/>
      <c r="H2" s="79"/>
      <c r="I2" s="79"/>
      <c r="J2" s="79"/>
      <c r="K2" s="79"/>
      <c r="L2" s="80"/>
    </row>
    <row r="3" spans="1:20" ht="31.5" customHeight="1" x14ac:dyDescent="0.25">
      <c r="A3" s="7">
        <v>1</v>
      </c>
      <c r="B3" s="101" t="s">
        <v>2</v>
      </c>
      <c r="C3" s="5"/>
      <c r="D3" s="8"/>
      <c r="E3">
        <v>11</v>
      </c>
      <c r="F3" s="13" t="s">
        <v>29</v>
      </c>
      <c r="G3" s="5"/>
      <c r="H3" s="8"/>
      <c r="I3" s="9">
        <v>19</v>
      </c>
      <c r="J3" s="98" t="s">
        <v>121</v>
      </c>
      <c r="L3" s="56"/>
      <c r="S3" t="s">
        <v>37</v>
      </c>
      <c r="T3" s="10"/>
    </row>
    <row r="4" spans="1:20" ht="31.5" customHeight="1" x14ac:dyDescent="0.25">
      <c r="A4" s="7">
        <v>2</v>
      </c>
      <c r="B4" s="101" t="s">
        <v>4</v>
      </c>
      <c r="C4" s="5"/>
      <c r="D4" s="8"/>
      <c r="E4">
        <v>12</v>
      </c>
      <c r="F4" s="13" t="s">
        <v>31</v>
      </c>
      <c r="G4" s="5"/>
      <c r="H4" s="8"/>
      <c r="I4" s="9">
        <v>20</v>
      </c>
      <c r="J4" s="102" t="s">
        <v>5</v>
      </c>
      <c r="K4" s="66"/>
      <c r="L4" s="81"/>
      <c r="S4" t="s">
        <v>38</v>
      </c>
      <c r="T4" s="10"/>
    </row>
    <row r="5" spans="1:20" x14ac:dyDescent="0.25">
      <c r="A5" s="7">
        <v>3</v>
      </c>
      <c r="B5" s="101" t="s">
        <v>6</v>
      </c>
      <c r="C5" s="5"/>
      <c r="D5" s="8"/>
      <c r="E5">
        <v>13</v>
      </c>
      <c r="F5" s="13" t="s">
        <v>62</v>
      </c>
      <c r="G5" s="5"/>
      <c r="H5" s="8"/>
      <c r="I5" s="89"/>
      <c r="J5" s="93"/>
      <c r="K5" s="89"/>
      <c r="L5" s="6"/>
      <c r="S5" t="s">
        <v>39</v>
      </c>
      <c r="T5" s="10"/>
    </row>
    <row r="6" spans="1:20" x14ac:dyDescent="0.25">
      <c r="A6" s="7">
        <v>4</v>
      </c>
      <c r="B6" s="13" t="s">
        <v>7</v>
      </c>
      <c r="C6" s="5"/>
      <c r="D6" s="8"/>
      <c r="E6">
        <v>14</v>
      </c>
      <c r="F6" s="13" t="s">
        <v>30</v>
      </c>
      <c r="G6" s="5"/>
      <c r="H6" s="8"/>
      <c r="I6" s="89"/>
      <c r="J6" s="89"/>
      <c r="K6" s="89"/>
      <c r="L6" s="6"/>
      <c r="S6" t="s">
        <v>40</v>
      </c>
      <c r="T6" s="10"/>
    </row>
    <row r="7" spans="1:20" x14ac:dyDescent="0.25">
      <c r="A7" s="7">
        <v>5</v>
      </c>
      <c r="B7" s="13" t="s">
        <v>8</v>
      </c>
      <c r="C7" s="5"/>
      <c r="D7" s="8"/>
      <c r="F7" s="60"/>
      <c r="G7" s="89"/>
      <c r="H7" s="89"/>
      <c r="I7" s="89"/>
      <c r="J7" s="89"/>
      <c r="K7" s="89"/>
      <c r="L7" s="90"/>
      <c r="S7" t="s">
        <v>41</v>
      </c>
      <c r="T7" s="10"/>
    </row>
    <row r="8" spans="1:20" ht="30" x14ac:dyDescent="0.25">
      <c r="A8" s="7">
        <v>6</v>
      </c>
      <c r="B8" s="13" t="s">
        <v>10</v>
      </c>
      <c r="C8" s="5"/>
      <c r="D8" s="8"/>
      <c r="E8">
        <v>15</v>
      </c>
      <c r="F8" s="101" t="s">
        <v>67</v>
      </c>
      <c r="G8" s="89"/>
      <c r="H8" s="97"/>
      <c r="I8" s="89"/>
      <c r="J8" s="89"/>
      <c r="K8" s="89"/>
      <c r="L8" s="90"/>
      <c r="S8" t="s">
        <v>42</v>
      </c>
      <c r="T8" s="10"/>
    </row>
    <row r="9" spans="1:20" ht="30" x14ac:dyDescent="0.25">
      <c r="A9" s="7">
        <v>7</v>
      </c>
      <c r="B9" s="13" t="s">
        <v>11</v>
      </c>
      <c r="C9" s="5"/>
      <c r="D9" s="8"/>
      <c r="E9">
        <v>16</v>
      </c>
      <c r="F9" s="13" t="s">
        <v>68</v>
      </c>
      <c r="G9" s="89"/>
      <c r="H9" s="97"/>
      <c r="I9" s="89"/>
      <c r="J9" s="89"/>
      <c r="K9" s="89"/>
      <c r="L9" s="90"/>
      <c r="S9" t="s">
        <v>43</v>
      </c>
      <c r="T9" s="10"/>
    </row>
    <row r="10" spans="1:20" x14ac:dyDescent="0.25">
      <c r="A10" s="7">
        <v>8</v>
      </c>
      <c r="B10" s="13" t="s">
        <v>12</v>
      </c>
      <c r="C10" s="5"/>
      <c r="D10" s="8"/>
      <c r="E10">
        <v>17</v>
      </c>
      <c r="F10" s="13" t="s">
        <v>71</v>
      </c>
      <c r="G10" s="89"/>
      <c r="H10" s="97"/>
      <c r="I10" s="89"/>
      <c r="J10" s="89"/>
      <c r="K10" s="89"/>
      <c r="L10" s="90"/>
      <c r="S10" t="s">
        <v>3</v>
      </c>
      <c r="T10" s="10"/>
    </row>
    <row r="11" spans="1:20" ht="30" x14ac:dyDescent="0.25">
      <c r="A11" s="40">
        <v>9</v>
      </c>
      <c r="B11" s="13" t="s">
        <v>69</v>
      </c>
      <c r="D11" s="42"/>
      <c r="E11">
        <v>18</v>
      </c>
      <c r="F11" s="13" t="s">
        <v>66</v>
      </c>
      <c r="G11" s="89"/>
      <c r="H11" s="97"/>
      <c r="I11" s="89"/>
      <c r="J11" s="89"/>
      <c r="K11" s="89"/>
      <c r="L11" s="90"/>
      <c r="N11" s="43"/>
      <c r="O11" s="43"/>
      <c r="S11" t="s">
        <v>169</v>
      </c>
      <c r="T11" s="10"/>
    </row>
    <row r="12" spans="1:20" ht="15.75" x14ac:dyDescent="0.25">
      <c r="A12" s="40">
        <v>10</v>
      </c>
      <c r="B12" s="13" t="s">
        <v>70</v>
      </c>
      <c r="D12" s="42"/>
      <c r="F12" s="89"/>
      <c r="G12" s="89"/>
      <c r="H12" s="89"/>
      <c r="I12" s="89"/>
      <c r="J12" s="89"/>
      <c r="K12" s="89"/>
      <c r="L12" s="90"/>
      <c r="N12" s="44"/>
      <c r="O12" s="44"/>
      <c r="S12" t="s">
        <v>170</v>
      </c>
      <c r="T12" s="10"/>
    </row>
    <row r="13" spans="1:20" ht="15.75" x14ac:dyDescent="0.25">
      <c r="A13" s="40"/>
      <c r="B13" s="93"/>
      <c r="C13" s="89"/>
      <c r="D13" s="89"/>
      <c r="E13" s="89"/>
      <c r="F13" s="89"/>
      <c r="G13" s="89"/>
      <c r="H13" s="89"/>
      <c r="I13" s="89"/>
      <c r="J13" s="89"/>
      <c r="K13" s="89"/>
      <c r="L13" s="90"/>
      <c r="N13" s="44"/>
      <c r="O13" s="44"/>
      <c r="S13" t="s">
        <v>171</v>
      </c>
      <c r="T13" s="10"/>
    </row>
    <row r="14" spans="1:20" s="73" customFormat="1" ht="45.75" customHeight="1" x14ac:dyDescent="0.25">
      <c r="A14" s="75" t="s">
        <v>13</v>
      </c>
      <c r="B14" s="95" t="s">
        <v>73</v>
      </c>
      <c r="C14" s="91"/>
      <c r="D14" s="91"/>
      <c r="E14" s="91"/>
      <c r="F14" s="91"/>
      <c r="G14" s="91"/>
      <c r="H14" s="91"/>
      <c r="I14" s="91"/>
      <c r="J14" s="91"/>
      <c r="K14" s="91"/>
      <c r="L14" s="92"/>
      <c r="N14" s="76"/>
      <c r="O14" s="76"/>
      <c r="S14" t="s">
        <v>9</v>
      </c>
      <c r="T14" s="74"/>
    </row>
    <row r="15" spans="1:20" ht="30" x14ac:dyDescent="0.25">
      <c r="A15" s="40">
        <v>21</v>
      </c>
      <c r="B15" s="13" t="s">
        <v>34</v>
      </c>
      <c r="D15" s="52"/>
      <c r="F15" s="94"/>
      <c r="G15" s="89"/>
      <c r="H15" s="89"/>
      <c r="I15" s="89"/>
      <c r="J15" s="89"/>
      <c r="K15" s="89"/>
      <c r="L15" s="90"/>
      <c r="N15" s="44"/>
      <c r="O15" s="44"/>
      <c r="S15" t="s">
        <v>104</v>
      </c>
      <c r="T15" s="10"/>
    </row>
    <row r="16" spans="1:20" ht="30" x14ac:dyDescent="0.25">
      <c r="A16" s="40">
        <v>22</v>
      </c>
      <c r="B16" s="13" t="s">
        <v>35</v>
      </c>
      <c r="D16" s="52"/>
      <c r="E16" s="89"/>
      <c r="F16" s="94"/>
      <c r="G16" s="89"/>
      <c r="H16" s="89"/>
      <c r="I16" s="89"/>
      <c r="J16" s="89"/>
      <c r="K16" s="89"/>
      <c r="L16" s="90"/>
      <c r="N16" s="44"/>
      <c r="O16" s="44"/>
      <c r="S16" t="s">
        <v>105</v>
      </c>
      <c r="T16" s="10"/>
    </row>
    <row r="17" spans="1:20" ht="45" x14ac:dyDescent="0.25">
      <c r="A17" s="40">
        <v>23</v>
      </c>
      <c r="B17" s="13" t="s">
        <v>36</v>
      </c>
      <c r="D17" s="52"/>
      <c r="F17" s="94"/>
      <c r="G17" s="89"/>
      <c r="H17" s="89"/>
      <c r="I17" s="89"/>
      <c r="J17" s="89"/>
      <c r="K17" s="89"/>
      <c r="L17" s="90"/>
      <c r="S17" t="s">
        <v>106</v>
      </c>
      <c r="T17" s="10"/>
    </row>
    <row r="18" spans="1:20" x14ac:dyDescent="0.25">
      <c r="A18" s="40"/>
      <c r="B18" s="96"/>
      <c r="C18" s="89"/>
      <c r="D18" s="89"/>
      <c r="E18" s="89"/>
      <c r="F18" s="89"/>
      <c r="G18" s="89"/>
      <c r="H18" s="89"/>
      <c r="I18" s="89"/>
      <c r="J18" s="89"/>
      <c r="K18" s="89"/>
      <c r="L18" s="90"/>
      <c r="S18" t="s">
        <v>107</v>
      </c>
      <c r="T18" s="10"/>
    </row>
    <row r="19" spans="1:20" s="73" customFormat="1" ht="28.9" customHeight="1" x14ac:dyDescent="0.25">
      <c r="A19" s="75" t="s">
        <v>19</v>
      </c>
      <c r="B19" s="106" t="s">
        <v>74</v>
      </c>
      <c r="C19" s="106"/>
      <c r="D19" s="106"/>
      <c r="E19" s="106"/>
      <c r="F19" s="106"/>
      <c r="G19" s="91"/>
      <c r="H19" s="91"/>
      <c r="I19" s="91"/>
      <c r="J19" s="91"/>
      <c r="K19" s="91"/>
      <c r="L19" s="92"/>
      <c r="T19" s="74"/>
    </row>
    <row r="20" spans="1:20" x14ac:dyDescent="0.25">
      <c r="A20" s="40">
        <v>24</v>
      </c>
      <c r="B20" s="13" t="s">
        <v>165</v>
      </c>
      <c r="C20" s="5"/>
      <c r="D20" s="8"/>
      <c r="E20" s="5"/>
      <c r="F20" s="99"/>
      <c r="G20" s="89"/>
      <c r="H20" s="89"/>
      <c r="I20" s="89"/>
      <c r="J20" s="89"/>
      <c r="K20" s="89"/>
      <c r="L20" s="90"/>
      <c r="T20" s="10"/>
    </row>
    <row r="21" spans="1:20" x14ac:dyDescent="0.25">
      <c r="A21" s="40">
        <v>25</v>
      </c>
      <c r="B21" s="61" t="s">
        <v>44</v>
      </c>
      <c r="C21" s="5"/>
      <c r="D21" s="8"/>
      <c r="E21" s="5"/>
      <c r="F21" s="99"/>
      <c r="G21" s="89"/>
      <c r="H21" s="89"/>
      <c r="I21" s="89"/>
      <c r="J21" s="89"/>
      <c r="K21" s="89"/>
      <c r="L21" s="90"/>
      <c r="T21" s="10"/>
    </row>
    <row r="22" spans="1:20" ht="30" x14ac:dyDescent="0.25">
      <c r="A22" s="40">
        <v>26</v>
      </c>
      <c r="B22" s="62" t="s">
        <v>45</v>
      </c>
      <c r="C22" s="5"/>
      <c r="D22" s="8"/>
      <c r="E22" s="5"/>
      <c r="F22" s="100"/>
      <c r="G22" s="89"/>
      <c r="H22" s="89"/>
      <c r="I22" s="89"/>
      <c r="J22" s="89"/>
      <c r="K22" s="89"/>
      <c r="L22" s="90"/>
      <c r="T22" s="10"/>
    </row>
    <row r="23" spans="1:20" x14ac:dyDescent="0.25">
      <c r="A23" s="40">
        <v>27</v>
      </c>
      <c r="B23" s="62" t="s">
        <v>33</v>
      </c>
      <c r="C23" s="5"/>
      <c r="D23" s="8"/>
      <c r="E23" s="5"/>
      <c r="F23" s="100"/>
      <c r="G23" s="89"/>
      <c r="H23" s="89"/>
      <c r="I23" s="89"/>
      <c r="J23" s="89"/>
      <c r="K23" s="89"/>
      <c r="L23" s="90"/>
      <c r="T23" s="10"/>
    </row>
    <row r="24" spans="1:20" x14ac:dyDescent="0.25">
      <c r="A24" s="40">
        <v>28</v>
      </c>
      <c r="B24" s="61" t="s">
        <v>32</v>
      </c>
      <c r="C24" s="5"/>
      <c r="D24" s="8"/>
      <c r="E24" s="5"/>
      <c r="F24" s="99"/>
      <c r="G24" s="89"/>
      <c r="H24" s="89"/>
      <c r="I24" s="89"/>
      <c r="J24" s="89"/>
      <c r="K24" s="89"/>
      <c r="L24" s="90"/>
      <c r="T24" s="10"/>
    </row>
    <row r="25" spans="1:20" x14ac:dyDescent="0.25">
      <c r="A25" s="11"/>
      <c r="B25" s="12"/>
      <c r="C25" s="5"/>
      <c r="D25" s="5"/>
      <c r="E25" s="5"/>
      <c r="F25" s="5"/>
      <c r="G25" s="5"/>
      <c r="H25" s="5"/>
      <c r="I25" s="5"/>
      <c r="J25" s="5"/>
      <c r="K25" s="5"/>
      <c r="L25" s="6"/>
      <c r="T25" s="10"/>
    </row>
    <row r="26" spans="1:20" x14ac:dyDescent="0.25">
      <c r="A26" s="11"/>
      <c r="B26" s="4" t="s">
        <v>182</v>
      </c>
      <c r="C26" s="5"/>
      <c r="D26" s="5"/>
      <c r="E26" s="5"/>
      <c r="F26" s="5"/>
      <c r="G26" s="5"/>
      <c r="H26" s="5"/>
      <c r="I26" s="5"/>
      <c r="J26" s="5"/>
      <c r="K26" s="5"/>
      <c r="L26" s="6"/>
      <c r="T26" s="10"/>
    </row>
    <row r="27" spans="1:20" ht="47.25" customHeight="1" x14ac:dyDescent="0.25">
      <c r="A27" s="3"/>
      <c r="B27" s="13" t="s">
        <v>14</v>
      </c>
      <c r="C27" s="5"/>
      <c r="D27" s="13" t="s">
        <v>123</v>
      </c>
      <c r="E27" s="41"/>
      <c r="F27" s="13" t="s">
        <v>15</v>
      </c>
      <c r="G27" s="5"/>
      <c r="H27" s="13" t="s">
        <v>16</v>
      </c>
      <c r="I27" s="5"/>
      <c r="J27" s="13" t="s">
        <v>17</v>
      </c>
      <c r="K27" s="5"/>
      <c r="L27" s="14" t="s">
        <v>18</v>
      </c>
      <c r="T27" s="10"/>
    </row>
    <row r="28" spans="1:20" x14ac:dyDescent="0.25">
      <c r="A28" s="11"/>
      <c r="B28" s="15" t="s">
        <v>218</v>
      </c>
      <c r="C28" s="9">
        <v>29</v>
      </c>
      <c r="D28" s="46"/>
      <c r="E28" s="9">
        <v>31</v>
      </c>
      <c r="F28" s="16"/>
      <c r="G28" s="9">
        <v>33</v>
      </c>
      <c r="H28" s="16"/>
      <c r="I28" s="9">
        <v>35</v>
      </c>
      <c r="J28" s="8"/>
      <c r="K28" s="9">
        <v>37</v>
      </c>
      <c r="L28" s="17"/>
      <c r="T28" s="10"/>
    </row>
    <row r="29" spans="1:20" x14ac:dyDescent="0.25">
      <c r="A29" s="11"/>
      <c r="B29" s="18" t="s">
        <v>226</v>
      </c>
      <c r="C29" s="45">
        <v>30</v>
      </c>
      <c r="D29" s="46"/>
      <c r="E29" s="9">
        <v>32</v>
      </c>
      <c r="F29" s="16"/>
      <c r="G29" s="19">
        <v>34</v>
      </c>
      <c r="H29" s="20"/>
      <c r="I29" s="9">
        <v>36</v>
      </c>
      <c r="J29" s="8"/>
      <c r="K29" s="9">
        <v>38</v>
      </c>
      <c r="L29" s="17"/>
      <c r="T29" s="10"/>
    </row>
    <row r="30" spans="1:20" x14ac:dyDescent="0.25">
      <c r="A30" s="11"/>
      <c r="B30" s="48"/>
      <c r="C30" s="9"/>
      <c r="D30" s="9"/>
      <c r="E30" s="9"/>
      <c r="F30" s="49"/>
      <c r="G30" s="9"/>
      <c r="H30" s="50"/>
      <c r="I30" s="9"/>
      <c r="J30" s="5"/>
      <c r="K30" s="9"/>
      <c r="L30" s="51"/>
      <c r="T30" s="10"/>
    </row>
    <row r="31" spans="1:20" x14ac:dyDescent="0.25">
      <c r="A31" s="11">
        <v>39</v>
      </c>
      <c r="B31" s="61" t="s">
        <v>166</v>
      </c>
      <c r="C31" s="5"/>
      <c r="D31" s="8"/>
      <c r="E31" s="9"/>
      <c r="F31" s="49"/>
      <c r="G31" s="9"/>
      <c r="H31" s="49"/>
      <c r="I31" s="9"/>
      <c r="J31" s="5"/>
      <c r="K31" s="9"/>
      <c r="L31" s="51"/>
      <c r="T31" s="10"/>
    </row>
    <row r="32" spans="1:20" x14ac:dyDescent="0.25">
      <c r="A32" s="11">
        <v>40</v>
      </c>
      <c r="B32" s="61" t="s">
        <v>44</v>
      </c>
      <c r="C32" s="5"/>
      <c r="D32" s="8"/>
      <c r="E32" s="9"/>
      <c r="F32" s="49"/>
      <c r="G32" s="9"/>
      <c r="H32" s="49"/>
      <c r="I32" s="9"/>
      <c r="J32" s="5"/>
      <c r="K32" s="9"/>
      <c r="L32" s="51"/>
      <c r="T32" s="10"/>
    </row>
    <row r="33" spans="1:20" ht="30" x14ac:dyDescent="0.25">
      <c r="A33" s="11">
        <v>41</v>
      </c>
      <c r="B33" s="62" t="s">
        <v>45</v>
      </c>
      <c r="C33" s="5"/>
      <c r="D33" s="8"/>
      <c r="E33" s="9"/>
      <c r="F33" s="49"/>
      <c r="G33" s="9"/>
      <c r="H33" s="49"/>
      <c r="I33" s="9"/>
      <c r="J33" s="5"/>
      <c r="K33" s="9"/>
      <c r="L33" s="51"/>
      <c r="T33" s="10"/>
    </row>
    <row r="34" spans="1:20" x14ac:dyDescent="0.25">
      <c r="A34" s="11">
        <v>42</v>
      </c>
      <c r="B34" s="62" t="s">
        <v>33</v>
      </c>
      <c r="C34" s="5"/>
      <c r="D34" s="8"/>
      <c r="E34" s="9"/>
      <c r="F34" s="49"/>
      <c r="G34" s="9"/>
      <c r="H34" s="49"/>
      <c r="I34" s="9"/>
      <c r="J34" s="5"/>
      <c r="K34" s="9"/>
      <c r="L34" s="51"/>
      <c r="T34" s="10"/>
    </row>
    <row r="35" spans="1:20" x14ac:dyDescent="0.25">
      <c r="A35" s="11">
        <v>43</v>
      </c>
      <c r="B35" s="61" t="s">
        <v>32</v>
      </c>
      <c r="C35" s="5"/>
      <c r="D35" s="8"/>
      <c r="E35" s="9"/>
      <c r="F35" s="49"/>
      <c r="G35" s="9"/>
      <c r="H35" s="49"/>
      <c r="I35" s="9"/>
      <c r="J35" s="5"/>
      <c r="K35" s="9"/>
      <c r="L35" s="51"/>
      <c r="T35" s="10"/>
    </row>
    <row r="36" spans="1:20" x14ac:dyDescent="0.25">
      <c r="A36" s="11"/>
      <c r="B36" s="63"/>
      <c r="C36" s="5"/>
      <c r="D36" s="5"/>
      <c r="E36" s="9"/>
      <c r="F36" s="49"/>
      <c r="G36" s="9"/>
      <c r="H36" s="49"/>
      <c r="I36" s="9"/>
      <c r="J36" s="5"/>
      <c r="K36" s="9"/>
      <c r="L36" s="51"/>
      <c r="T36" s="10"/>
    </row>
    <row r="37" spans="1:20" x14ac:dyDescent="0.25">
      <c r="A37" s="53"/>
      <c r="B37" s="63" t="s">
        <v>183</v>
      </c>
      <c r="C37" s="5"/>
      <c r="D37" s="5"/>
      <c r="E37" s="9"/>
      <c r="F37" s="49"/>
      <c r="G37" s="47"/>
      <c r="H37" s="54"/>
      <c r="I37" s="9"/>
      <c r="J37" s="5"/>
      <c r="K37" s="9"/>
      <c r="L37" s="51"/>
      <c r="T37" s="10"/>
    </row>
    <row r="38" spans="1:20" ht="45" x14ac:dyDescent="0.25">
      <c r="A38" s="11"/>
      <c r="B38" s="13" t="s">
        <v>14</v>
      </c>
      <c r="C38" s="5"/>
      <c r="D38" s="13" t="s">
        <v>123</v>
      </c>
      <c r="E38" s="41"/>
      <c r="F38" s="13" t="s">
        <v>15</v>
      </c>
      <c r="G38" s="5"/>
      <c r="H38" s="13" t="s">
        <v>16</v>
      </c>
      <c r="I38" s="5"/>
      <c r="J38" s="13" t="s">
        <v>17</v>
      </c>
      <c r="K38" s="5"/>
      <c r="L38" s="14" t="s">
        <v>18</v>
      </c>
      <c r="T38" s="10"/>
    </row>
    <row r="39" spans="1:20" x14ac:dyDescent="0.25">
      <c r="A39" s="11"/>
      <c r="B39" s="15" t="s">
        <v>218</v>
      </c>
      <c r="C39" s="9">
        <v>44</v>
      </c>
      <c r="D39" s="46"/>
      <c r="E39" s="47">
        <v>46</v>
      </c>
      <c r="F39" s="16"/>
      <c r="G39" s="9">
        <v>48</v>
      </c>
      <c r="H39" s="16"/>
      <c r="I39" s="9">
        <v>50</v>
      </c>
      <c r="J39" s="8"/>
      <c r="K39" s="9">
        <v>52</v>
      </c>
      <c r="L39" s="17"/>
      <c r="T39" s="10"/>
    </row>
    <row r="40" spans="1:20" x14ac:dyDescent="0.25">
      <c r="A40" s="11"/>
      <c r="B40" s="18" t="s">
        <v>226</v>
      </c>
      <c r="C40" s="45">
        <v>45</v>
      </c>
      <c r="D40" s="46"/>
      <c r="E40" s="47">
        <v>47</v>
      </c>
      <c r="F40" s="16"/>
      <c r="G40" s="19">
        <v>49</v>
      </c>
      <c r="H40" s="20"/>
      <c r="I40" s="9">
        <v>51</v>
      </c>
      <c r="J40" s="8"/>
      <c r="K40" s="9">
        <v>53</v>
      </c>
      <c r="L40" s="17"/>
      <c r="T40" s="10"/>
    </row>
    <row r="41" spans="1:20" x14ac:dyDescent="0.25">
      <c r="A41" s="11"/>
      <c r="B41" s="21"/>
      <c r="C41" s="5"/>
      <c r="D41" s="5"/>
      <c r="F41" s="5"/>
      <c r="G41" s="5"/>
      <c r="H41" s="23"/>
      <c r="I41" s="5"/>
      <c r="J41" s="5"/>
      <c r="K41" s="5"/>
      <c r="L41" s="6"/>
      <c r="T41" s="10"/>
    </row>
    <row r="42" spans="1:20" ht="53.25" customHeight="1" x14ac:dyDescent="0.25">
      <c r="A42" s="3"/>
      <c r="B42" s="13" t="s">
        <v>184</v>
      </c>
      <c r="C42" s="5"/>
      <c r="D42" s="13" t="s">
        <v>123</v>
      </c>
      <c r="E42" s="41"/>
      <c r="F42" s="55" t="s">
        <v>15</v>
      </c>
      <c r="G42" s="5"/>
      <c r="H42" s="13" t="s">
        <v>16</v>
      </c>
      <c r="I42" s="5"/>
      <c r="J42" s="13" t="s">
        <v>17</v>
      </c>
      <c r="K42" s="5"/>
      <c r="L42" s="14" t="s">
        <v>18</v>
      </c>
      <c r="T42" s="10"/>
    </row>
    <row r="43" spans="1:20" x14ac:dyDescent="0.25">
      <c r="A43" s="7"/>
      <c r="B43" s="15" t="s">
        <v>218</v>
      </c>
      <c r="C43" s="5">
        <v>54</v>
      </c>
      <c r="D43" s="8">
        <f>D28+D39</f>
        <v>0</v>
      </c>
      <c r="E43" s="5">
        <v>56</v>
      </c>
      <c r="F43" s="8">
        <f>F28+F39</f>
        <v>0</v>
      </c>
      <c r="G43" s="5">
        <v>58</v>
      </c>
      <c r="H43" s="8">
        <f>H28+H39</f>
        <v>0</v>
      </c>
      <c r="I43" s="69">
        <v>60</v>
      </c>
      <c r="J43" s="68"/>
      <c r="K43" s="38">
        <v>62</v>
      </c>
      <c r="L43" s="81">
        <f t="shared" ref="L43" si="0">L28+L39</f>
        <v>0</v>
      </c>
      <c r="T43" s="10"/>
    </row>
    <row r="44" spans="1:20" x14ac:dyDescent="0.25">
      <c r="A44" s="7"/>
      <c r="B44" s="18" t="s">
        <v>226</v>
      </c>
      <c r="C44" s="5">
        <v>55</v>
      </c>
      <c r="D44" s="8">
        <f>D29+D40</f>
        <v>0</v>
      </c>
      <c r="E44" s="5">
        <v>57</v>
      </c>
      <c r="F44" s="8">
        <f>F29+F40</f>
        <v>0</v>
      </c>
      <c r="G44" s="5">
        <v>59</v>
      </c>
      <c r="H44" s="8">
        <f>H29+H40</f>
        <v>0</v>
      </c>
      <c r="I44" s="69">
        <v>61</v>
      </c>
      <c r="J44" s="68"/>
      <c r="K44" s="38">
        <v>63</v>
      </c>
      <c r="L44" s="81">
        <f t="shared" ref="L44" si="1">L29+L40</f>
        <v>0</v>
      </c>
      <c r="T44" s="10"/>
    </row>
    <row r="45" spans="1:20" x14ac:dyDescent="0.25">
      <c r="A45" s="11"/>
      <c r="B45" s="12"/>
      <c r="C45" s="5"/>
      <c r="D45" s="5"/>
      <c r="F45" s="5"/>
      <c r="G45" s="5"/>
      <c r="H45" s="5"/>
      <c r="I45" s="5"/>
      <c r="J45" s="5"/>
      <c r="K45" s="5"/>
      <c r="L45" s="6"/>
      <c r="T45" s="10"/>
    </row>
    <row r="46" spans="1:20" x14ac:dyDescent="0.25">
      <c r="A46" s="11"/>
      <c r="B46" s="4" t="s">
        <v>46</v>
      </c>
      <c r="C46" s="5"/>
      <c r="D46" s="5"/>
      <c r="E46" s="5"/>
      <c r="F46" s="5"/>
      <c r="G46" s="5"/>
      <c r="H46" s="5"/>
      <c r="I46" s="5"/>
      <c r="J46" s="5"/>
      <c r="K46" s="5"/>
      <c r="L46" s="6"/>
      <c r="T46" s="10"/>
    </row>
    <row r="47" spans="1:20" x14ac:dyDescent="0.25">
      <c r="A47" s="3"/>
      <c r="B47" s="13" t="s">
        <v>47</v>
      </c>
      <c r="C47" s="5">
        <v>64</v>
      </c>
      <c r="D47" s="8"/>
      <c r="E47" s="5"/>
      <c r="F47" s="4"/>
      <c r="G47" s="4"/>
      <c r="H47" s="41"/>
      <c r="I47" s="41"/>
      <c r="J47" s="41"/>
      <c r="K47" s="41"/>
      <c r="L47" s="82"/>
      <c r="T47" s="10"/>
    </row>
    <row r="48" spans="1:20" x14ac:dyDescent="0.25">
      <c r="A48" s="7"/>
      <c r="B48" s="13" t="s">
        <v>48</v>
      </c>
      <c r="C48" s="5">
        <v>65</v>
      </c>
      <c r="D48" s="8"/>
      <c r="E48" s="5"/>
      <c r="F48" s="57"/>
      <c r="G48" s="57"/>
      <c r="H48" s="57"/>
      <c r="I48" s="57"/>
      <c r="J48" s="58"/>
      <c r="K48" s="58"/>
      <c r="L48" s="83"/>
      <c r="T48" s="10"/>
    </row>
    <row r="49" spans="1:20" x14ac:dyDescent="0.25">
      <c r="A49" s="7"/>
      <c r="B49" s="13" t="s">
        <v>49</v>
      </c>
      <c r="C49" s="5">
        <v>66</v>
      </c>
      <c r="D49" s="8"/>
      <c r="E49" s="5"/>
      <c r="F49" s="57"/>
      <c r="G49" s="57"/>
      <c r="H49" s="57"/>
      <c r="I49" s="57"/>
      <c r="J49" s="58"/>
      <c r="K49" s="58"/>
      <c r="L49" s="83"/>
      <c r="T49" s="10"/>
    </row>
    <row r="50" spans="1:20" x14ac:dyDescent="0.25">
      <c r="A50" s="7"/>
      <c r="B50" s="4"/>
      <c r="C50" s="5"/>
      <c r="D50" s="5"/>
      <c r="E50" s="5"/>
      <c r="F50" s="57"/>
      <c r="G50" s="57"/>
      <c r="H50" s="57"/>
      <c r="I50" s="57"/>
      <c r="J50" s="58"/>
      <c r="K50" s="58"/>
      <c r="L50" s="83"/>
      <c r="T50" s="10"/>
    </row>
    <row r="51" spans="1:20" s="73" customFormat="1" ht="28.9" customHeight="1" x14ac:dyDescent="0.25">
      <c r="A51" s="70" t="s">
        <v>20</v>
      </c>
      <c r="B51" s="105" t="s">
        <v>75</v>
      </c>
      <c r="C51" s="105"/>
      <c r="D51" s="105"/>
      <c r="E51" s="105"/>
      <c r="F51" s="105"/>
      <c r="G51" s="71"/>
      <c r="H51" s="71"/>
      <c r="I51" s="71"/>
      <c r="J51" s="72"/>
      <c r="K51" s="72"/>
      <c r="L51" s="84"/>
      <c r="T51" s="74"/>
    </row>
    <row r="52" spans="1:20" ht="30" x14ac:dyDescent="0.25">
      <c r="A52" s="11"/>
      <c r="B52" s="13" t="s">
        <v>51</v>
      </c>
      <c r="C52" s="59"/>
      <c r="D52" s="13" t="s">
        <v>55</v>
      </c>
      <c r="E52" s="60"/>
      <c r="F52" s="13" t="s">
        <v>54</v>
      </c>
      <c r="G52" s="5"/>
      <c r="H52" s="5"/>
      <c r="I52" s="5"/>
      <c r="J52" s="5"/>
      <c r="K52" s="5"/>
      <c r="L52" s="6"/>
      <c r="T52" s="10"/>
    </row>
    <row r="53" spans="1:20" x14ac:dyDescent="0.25">
      <c r="A53" s="11">
        <v>67</v>
      </c>
      <c r="B53" s="15" t="s">
        <v>50</v>
      </c>
      <c r="C53" s="5">
        <v>70</v>
      </c>
      <c r="D53" s="8" t="s">
        <v>196</v>
      </c>
      <c r="E53">
        <v>73</v>
      </c>
      <c r="F53" s="8"/>
      <c r="G53" s="5"/>
      <c r="H53" s="5"/>
      <c r="I53" s="5"/>
      <c r="J53" s="5"/>
      <c r="K53" s="5"/>
      <c r="L53" s="6"/>
      <c r="T53" s="10"/>
    </row>
    <row r="54" spans="1:20" x14ac:dyDescent="0.25">
      <c r="A54" s="11">
        <v>68</v>
      </c>
      <c r="B54" s="15" t="s">
        <v>52</v>
      </c>
      <c r="C54" s="5">
        <v>71</v>
      </c>
      <c r="D54" s="8" t="s">
        <v>197</v>
      </c>
      <c r="E54">
        <v>74</v>
      </c>
      <c r="F54" s="8"/>
      <c r="G54" s="5"/>
      <c r="H54" s="5"/>
      <c r="I54" s="5"/>
      <c r="J54" s="5"/>
      <c r="K54" s="5"/>
      <c r="L54" s="6"/>
      <c r="T54" s="10"/>
    </row>
    <row r="55" spans="1:20" x14ac:dyDescent="0.25">
      <c r="A55" s="11">
        <v>69</v>
      </c>
      <c r="B55" s="15" t="s">
        <v>53</v>
      </c>
      <c r="C55" s="5">
        <v>72</v>
      </c>
      <c r="D55" s="8" t="s">
        <v>198</v>
      </c>
      <c r="E55">
        <v>75</v>
      </c>
      <c r="F55" s="8"/>
      <c r="G55" s="5"/>
      <c r="H55" s="5"/>
      <c r="I55" s="5"/>
      <c r="J55" s="5"/>
      <c r="K55" s="5"/>
      <c r="L55" s="6"/>
      <c r="T55" s="10"/>
    </row>
    <row r="56" spans="1:20" x14ac:dyDescent="0.25">
      <c r="A56" s="11"/>
      <c r="B56" s="12"/>
      <c r="C56" s="5"/>
      <c r="D56" s="5"/>
      <c r="E56" s="5"/>
      <c r="F56" s="5"/>
      <c r="G56" s="5"/>
      <c r="H56" s="5"/>
      <c r="I56" s="5"/>
      <c r="J56" s="5"/>
      <c r="K56" s="5"/>
      <c r="L56" s="6"/>
      <c r="T56" s="10"/>
    </row>
    <row r="57" spans="1:20" x14ac:dyDescent="0.25">
      <c r="A57" s="11"/>
      <c r="B57" s="13" t="s">
        <v>58</v>
      </c>
      <c r="C57" s="5">
        <v>76</v>
      </c>
      <c r="D57" s="8"/>
      <c r="E57" s="5"/>
      <c r="F57" s="5"/>
      <c r="G57" s="5"/>
      <c r="H57" s="5"/>
      <c r="I57" s="5"/>
      <c r="J57" s="5"/>
      <c r="K57" s="5"/>
      <c r="L57" s="6"/>
      <c r="T57" s="10"/>
    </row>
    <row r="58" spans="1:20" x14ac:dyDescent="0.25">
      <c r="A58" s="11"/>
      <c r="B58" s="13" t="s">
        <v>56</v>
      </c>
      <c r="C58" s="5">
        <v>77</v>
      </c>
      <c r="D58" s="8"/>
      <c r="E58" s="5"/>
      <c r="F58" s="5"/>
      <c r="G58" s="5"/>
      <c r="H58" s="5"/>
      <c r="I58" s="5"/>
      <c r="J58" s="5"/>
      <c r="K58" s="5"/>
      <c r="L58" s="6"/>
      <c r="T58" s="10"/>
    </row>
    <row r="59" spans="1:20" x14ac:dyDescent="0.25">
      <c r="A59" s="11"/>
      <c r="B59" s="13" t="s">
        <v>57</v>
      </c>
      <c r="C59" s="5">
        <v>78</v>
      </c>
      <c r="D59" s="8"/>
      <c r="E59" s="5"/>
      <c r="F59" s="5"/>
      <c r="G59" s="5"/>
      <c r="H59" s="5"/>
      <c r="I59" s="5"/>
      <c r="J59" s="5"/>
      <c r="K59" s="5"/>
      <c r="L59" s="6"/>
      <c r="T59" s="10"/>
    </row>
    <row r="60" spans="1:20" x14ac:dyDescent="0.25">
      <c r="A60" s="11"/>
      <c r="B60" s="4"/>
      <c r="C60" s="5"/>
      <c r="D60" s="5"/>
      <c r="E60" s="5"/>
      <c r="F60" s="5"/>
      <c r="G60" s="5"/>
      <c r="H60" s="5"/>
      <c r="I60" s="5"/>
      <c r="J60" s="5"/>
      <c r="K60" s="5"/>
      <c r="L60" s="6"/>
      <c r="T60" s="10"/>
    </row>
    <row r="61" spans="1:20" x14ac:dyDescent="0.25">
      <c r="A61" s="3" t="s">
        <v>76</v>
      </c>
      <c r="B61" s="59" t="s">
        <v>77</v>
      </c>
      <c r="C61" s="5"/>
      <c r="D61" s="5"/>
      <c r="E61" s="5"/>
      <c r="F61" s="5"/>
      <c r="G61" s="5"/>
      <c r="H61" s="5"/>
      <c r="I61" s="5"/>
      <c r="J61" s="5"/>
      <c r="K61" s="5"/>
      <c r="L61" s="6"/>
      <c r="T61" s="10"/>
    </row>
    <row r="62" spans="1:20" x14ac:dyDescent="0.25">
      <c r="A62" s="11"/>
      <c r="B62" s="5"/>
      <c r="C62" s="5"/>
      <c r="D62" s="5"/>
      <c r="E62" s="5"/>
      <c r="F62" s="5"/>
      <c r="G62" s="4"/>
      <c r="H62" s="4"/>
      <c r="I62" s="4"/>
      <c r="J62" s="4"/>
      <c r="K62" s="5"/>
      <c r="L62" s="6"/>
      <c r="T62" s="10"/>
    </row>
    <row r="63" spans="1:20" x14ac:dyDescent="0.25">
      <c r="A63" s="11"/>
      <c r="B63" s="64" t="s">
        <v>199</v>
      </c>
      <c r="D63" s="64" t="s">
        <v>200</v>
      </c>
      <c r="F63" s="64" t="s">
        <v>60</v>
      </c>
      <c r="H63" s="64" t="s">
        <v>61</v>
      </c>
      <c r="I63" s="4"/>
      <c r="J63" s="4"/>
      <c r="K63" s="5"/>
      <c r="L63" s="6"/>
      <c r="T63" s="10"/>
    </row>
    <row r="64" spans="1:20" x14ac:dyDescent="0.25">
      <c r="A64" s="65">
        <v>79</v>
      </c>
      <c r="B64" s="8" t="s">
        <v>191</v>
      </c>
      <c r="C64" s="5">
        <v>84</v>
      </c>
      <c r="D64" s="8" t="s">
        <v>201</v>
      </c>
      <c r="E64" s="5">
        <v>89</v>
      </c>
      <c r="F64" s="8" t="s">
        <v>206</v>
      </c>
      <c r="G64" s="5">
        <v>94</v>
      </c>
      <c r="H64" s="8"/>
      <c r="I64" s="4"/>
      <c r="J64" s="4"/>
      <c r="K64" s="5"/>
      <c r="L64" s="6"/>
      <c r="T64" s="10"/>
    </row>
    <row r="65" spans="1:20" x14ac:dyDescent="0.25">
      <c r="A65" s="65">
        <v>80</v>
      </c>
      <c r="B65" s="8" t="s">
        <v>192</v>
      </c>
      <c r="C65" s="5">
        <v>85</v>
      </c>
      <c r="D65" s="8" t="s">
        <v>202</v>
      </c>
      <c r="E65" s="5">
        <v>90</v>
      </c>
      <c r="F65" s="8" t="s">
        <v>207</v>
      </c>
      <c r="G65" s="5">
        <v>95</v>
      </c>
      <c r="H65" s="8"/>
      <c r="I65" s="4"/>
      <c r="J65" s="4"/>
      <c r="K65" s="5"/>
      <c r="L65" s="6"/>
      <c r="T65" s="10"/>
    </row>
    <row r="66" spans="1:20" x14ac:dyDescent="0.25">
      <c r="A66" s="65">
        <v>81</v>
      </c>
      <c r="B66" s="8" t="s">
        <v>193</v>
      </c>
      <c r="C66" s="5">
        <v>86</v>
      </c>
      <c r="D66" s="8" t="s">
        <v>203</v>
      </c>
      <c r="E66" s="5">
        <v>91</v>
      </c>
      <c r="F66" s="8" t="s">
        <v>208</v>
      </c>
      <c r="G66" s="5">
        <v>96</v>
      </c>
      <c r="H66" s="8"/>
      <c r="I66" s="4"/>
      <c r="J66" s="4"/>
      <c r="K66" s="5"/>
      <c r="L66" s="6"/>
      <c r="T66" s="10"/>
    </row>
    <row r="67" spans="1:20" x14ac:dyDescent="0.25">
      <c r="A67" s="65">
        <v>82</v>
      </c>
      <c r="B67" s="8" t="s">
        <v>194</v>
      </c>
      <c r="C67" s="5">
        <v>87</v>
      </c>
      <c r="D67" s="8" t="s">
        <v>204</v>
      </c>
      <c r="E67" s="5">
        <v>92</v>
      </c>
      <c r="F67" s="8" t="s">
        <v>209</v>
      </c>
      <c r="G67" s="5">
        <v>97</v>
      </c>
      <c r="H67" s="8"/>
      <c r="I67" s="4"/>
      <c r="J67" s="4"/>
      <c r="K67" s="5"/>
      <c r="L67" s="6"/>
      <c r="T67" s="10"/>
    </row>
    <row r="68" spans="1:20" x14ac:dyDescent="0.25">
      <c r="A68" s="65">
        <v>83</v>
      </c>
      <c r="B68" s="8" t="s">
        <v>195</v>
      </c>
      <c r="C68" s="5">
        <v>88</v>
      </c>
      <c r="D68" s="8" t="s">
        <v>205</v>
      </c>
      <c r="E68" s="5">
        <v>93</v>
      </c>
      <c r="F68" s="8" t="s">
        <v>210</v>
      </c>
      <c r="G68" s="5">
        <v>98</v>
      </c>
      <c r="H68" s="8"/>
      <c r="I68" s="4"/>
      <c r="J68" s="4"/>
      <c r="K68" s="5"/>
      <c r="L68" s="6"/>
      <c r="T68" s="10"/>
    </row>
    <row r="69" spans="1:20" x14ac:dyDescent="0.25">
      <c r="A69" s="11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T69" s="10"/>
    </row>
    <row r="70" spans="1:20" x14ac:dyDescent="0.25">
      <c r="A70" s="3" t="s">
        <v>164</v>
      </c>
      <c r="B70" s="103" t="s">
        <v>21</v>
      </c>
      <c r="C70" s="104"/>
      <c r="D70" s="104"/>
      <c r="E70" s="104"/>
      <c r="F70" s="104"/>
      <c r="G70" s="104"/>
      <c r="H70" s="104"/>
      <c r="I70" s="104"/>
      <c r="J70" s="24"/>
      <c r="K70" s="5"/>
      <c r="L70" s="6"/>
      <c r="T70" s="10"/>
    </row>
    <row r="71" spans="1:20" x14ac:dyDescent="0.25">
      <c r="A71" s="7"/>
      <c r="B71" s="25"/>
      <c r="C71" s="5"/>
      <c r="D71" s="5"/>
      <c r="E71" s="5"/>
      <c r="F71" s="5">
        <v>1</v>
      </c>
      <c r="G71" s="26" t="s">
        <v>22</v>
      </c>
      <c r="H71" s="26"/>
      <c r="I71" s="26"/>
      <c r="J71" s="22"/>
      <c r="K71" s="5"/>
      <c r="L71" s="6"/>
      <c r="T71" s="10"/>
    </row>
    <row r="72" spans="1:20" x14ac:dyDescent="0.25">
      <c r="A72" s="11">
        <v>99</v>
      </c>
      <c r="B72" s="27" t="s">
        <v>23</v>
      </c>
      <c r="C72" s="8"/>
      <c r="D72" s="5"/>
      <c r="E72" s="5"/>
      <c r="F72" s="5">
        <v>2</v>
      </c>
      <c r="G72" s="26" t="s">
        <v>24</v>
      </c>
      <c r="H72" s="26"/>
      <c r="I72" s="26"/>
      <c r="J72" s="22"/>
      <c r="K72" s="5"/>
      <c r="L72" s="6"/>
      <c r="T72" s="10"/>
    </row>
    <row r="73" spans="1:20" x14ac:dyDescent="0.25">
      <c r="A73" s="11"/>
      <c r="B73" s="25"/>
      <c r="C73" s="5"/>
      <c r="D73" s="5"/>
      <c r="E73" s="5"/>
      <c r="F73" s="5">
        <v>3</v>
      </c>
      <c r="G73" s="26" t="s">
        <v>25</v>
      </c>
      <c r="H73" s="26"/>
      <c r="I73" s="26"/>
      <c r="J73" s="22"/>
      <c r="K73" s="5"/>
      <c r="L73" s="6"/>
      <c r="T73" s="10"/>
    </row>
    <row r="74" spans="1:20" x14ac:dyDescent="0.25">
      <c r="A74" s="11"/>
      <c r="B74" s="25"/>
      <c r="C74" s="5"/>
      <c r="D74" s="5"/>
      <c r="E74" s="5"/>
      <c r="F74" s="5">
        <v>4</v>
      </c>
      <c r="G74" s="26" t="s">
        <v>26</v>
      </c>
      <c r="H74" s="26"/>
      <c r="I74" s="26"/>
      <c r="J74" s="22"/>
      <c r="K74" s="5"/>
      <c r="L74" s="6"/>
      <c r="T74" s="10"/>
    </row>
    <row r="75" spans="1:20" x14ac:dyDescent="0.25">
      <c r="A75" s="11"/>
      <c r="B75" s="25"/>
      <c r="C75" s="5"/>
      <c r="D75" s="5"/>
      <c r="E75" s="5"/>
      <c r="F75" s="5">
        <v>5</v>
      </c>
      <c r="G75" s="26" t="s">
        <v>27</v>
      </c>
      <c r="H75" s="26"/>
      <c r="I75" s="26"/>
      <c r="J75" s="22"/>
      <c r="K75" s="5"/>
      <c r="L75" s="6"/>
      <c r="N75" s="28"/>
      <c r="O75" s="28"/>
      <c r="T75" s="10"/>
    </row>
    <row r="76" spans="1:20" x14ac:dyDescent="0.25">
      <c r="A76" s="11"/>
      <c r="B76" s="25"/>
      <c r="C76" s="5"/>
      <c r="D76" s="5"/>
      <c r="E76" s="5"/>
      <c r="F76" s="5"/>
      <c r="G76" s="5"/>
      <c r="H76" s="5"/>
      <c r="I76" s="5"/>
      <c r="J76" s="22"/>
      <c r="K76" s="5"/>
      <c r="L76" s="6"/>
      <c r="T76" s="10"/>
    </row>
    <row r="77" spans="1:20" x14ac:dyDescent="0.25">
      <c r="A77" s="11"/>
      <c r="B77" s="25"/>
      <c r="C77" s="5"/>
      <c r="D77" s="5"/>
      <c r="E77" s="5"/>
      <c r="F77" s="5"/>
      <c r="G77" s="5"/>
      <c r="H77" s="5"/>
      <c r="I77" s="5"/>
      <c r="J77" s="22"/>
      <c r="K77" s="5"/>
      <c r="L77" s="6"/>
    </row>
    <row r="78" spans="1:20" x14ac:dyDescent="0.25">
      <c r="A78" s="7">
        <v>100</v>
      </c>
      <c r="B78" s="27" t="s">
        <v>28</v>
      </c>
      <c r="C78" s="5"/>
      <c r="D78" s="5"/>
      <c r="E78" s="5"/>
      <c r="F78" s="5"/>
      <c r="G78" s="5"/>
      <c r="H78" s="5"/>
      <c r="I78" s="5"/>
      <c r="J78" s="22"/>
      <c r="K78" s="5"/>
      <c r="L78" s="6"/>
    </row>
    <row r="79" spans="1:20" x14ac:dyDescent="0.25">
      <c r="A79" s="11"/>
      <c r="B79" s="29"/>
      <c r="C79" s="23"/>
      <c r="D79" s="23"/>
      <c r="E79" s="23"/>
      <c r="F79" s="23"/>
      <c r="G79" s="23"/>
      <c r="H79" s="23"/>
      <c r="I79" s="30"/>
      <c r="J79" s="22"/>
      <c r="K79" s="5"/>
      <c r="L79" s="6"/>
    </row>
    <row r="80" spans="1:20" x14ac:dyDescent="0.25">
      <c r="A80" s="11"/>
      <c r="B80" s="25"/>
      <c r="C80" s="5"/>
      <c r="D80" s="5"/>
      <c r="E80" s="5"/>
      <c r="F80" s="5"/>
      <c r="G80" s="5"/>
      <c r="H80" s="5"/>
      <c r="I80" s="22"/>
      <c r="J80" s="22"/>
      <c r="K80" s="5"/>
      <c r="L80" s="6"/>
    </row>
    <row r="81" spans="1:12" x14ac:dyDescent="0.25">
      <c r="A81" s="11"/>
      <c r="B81" s="31"/>
      <c r="C81" s="32"/>
      <c r="D81" s="32"/>
      <c r="E81" s="32"/>
      <c r="F81" s="32"/>
      <c r="G81" s="32"/>
      <c r="H81" s="32"/>
      <c r="I81" s="33"/>
      <c r="J81" s="22"/>
      <c r="K81" s="5"/>
      <c r="L81" s="6"/>
    </row>
    <row r="82" spans="1:12" x14ac:dyDescent="0.25">
      <c r="A82" s="11"/>
      <c r="B82" s="67" t="s">
        <v>72</v>
      </c>
      <c r="C82" s="32"/>
      <c r="D82" s="32"/>
      <c r="E82" s="32"/>
      <c r="F82" s="32"/>
      <c r="G82" s="32"/>
      <c r="H82" s="32"/>
      <c r="I82" s="32"/>
      <c r="J82" s="33"/>
      <c r="K82" s="5"/>
      <c r="L82" s="6"/>
    </row>
    <row r="83" spans="1:12" x14ac:dyDescent="0.25">
      <c r="A83" s="11"/>
      <c r="B83" s="12"/>
      <c r="C83" s="5"/>
      <c r="D83" s="5"/>
      <c r="E83" s="5"/>
      <c r="F83" s="5"/>
      <c r="G83" s="5"/>
      <c r="H83" s="5"/>
      <c r="I83" s="5"/>
      <c r="J83" s="5"/>
      <c r="K83" s="5"/>
      <c r="L83" s="6"/>
    </row>
    <row r="84" spans="1:12" ht="15.75" thickBot="1" x14ac:dyDescent="0.3">
      <c r="A84" s="34"/>
      <c r="B84" s="35"/>
      <c r="C84" s="36"/>
      <c r="D84" s="36"/>
      <c r="E84" s="36"/>
      <c r="F84" s="36"/>
      <c r="G84" s="36"/>
      <c r="H84" s="36"/>
      <c r="I84" s="36"/>
      <c r="J84" s="36"/>
      <c r="K84" s="36"/>
      <c r="L84" s="37"/>
    </row>
  </sheetData>
  <mergeCells count="4">
    <mergeCell ref="B70:I70"/>
    <mergeCell ref="B51:F51"/>
    <mergeCell ref="B19:F19"/>
    <mergeCell ref="B1:K1"/>
  </mergeCells>
  <dataValidations count="1">
    <dataValidation type="list" allowBlank="1" showInputMessage="1" showErrorMessage="1" sqref="D8" xr:uid="{00000000-0002-0000-0000-000000000000}">
      <formula1>$S$3:$S$18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9" fitToHeight="3" orientation="landscape" horizontalDpi="0" verticalDpi="0" r:id="rId1"/>
  <headerFooter>
    <oddHeader>&amp;A</oddHeader>
    <oddFooter>Página &amp;P</oddFooter>
  </headerFooter>
  <rowBreaks count="1" manualBreakCount="1">
    <brk id="69" max="11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2:E12"/>
  <sheetViews>
    <sheetView workbookViewId="0">
      <selection activeCell="F14" sqref="F14"/>
    </sheetView>
  </sheetViews>
  <sheetFormatPr baseColWidth="10" defaultRowHeight="15" x14ac:dyDescent="0.25"/>
  <cols>
    <col min="1" max="1" width="5.85546875" customWidth="1"/>
    <col min="2" max="2" width="26.7109375" bestFit="1" customWidth="1"/>
    <col min="4" max="4" width="20.28515625" customWidth="1"/>
    <col min="5" max="5" width="18.28515625" bestFit="1" customWidth="1"/>
  </cols>
  <sheetData>
    <row r="2" spans="1:5" x14ac:dyDescent="0.25">
      <c r="B2" s="60" t="s">
        <v>64</v>
      </c>
    </row>
    <row r="4" spans="1:5" x14ac:dyDescent="0.25">
      <c r="B4" s="64" t="s">
        <v>63</v>
      </c>
      <c r="C4" s="64" t="s">
        <v>59</v>
      </c>
      <c r="D4" s="64" t="s">
        <v>60</v>
      </c>
      <c r="E4" s="64" t="s">
        <v>61</v>
      </c>
    </row>
    <row r="5" spans="1:5" x14ac:dyDescent="0.25">
      <c r="A5">
        <v>1</v>
      </c>
      <c r="B5" s="42"/>
      <c r="C5" s="42"/>
      <c r="D5" s="42"/>
      <c r="E5" s="42"/>
    </row>
    <row r="6" spans="1:5" x14ac:dyDescent="0.25">
      <c r="A6">
        <v>2</v>
      </c>
      <c r="B6" s="42"/>
      <c r="C6" s="42"/>
      <c r="D6" s="42"/>
      <c r="E6" s="42"/>
    </row>
    <row r="7" spans="1:5" x14ac:dyDescent="0.25">
      <c r="A7">
        <v>3</v>
      </c>
      <c r="B7" s="42"/>
      <c r="C7" s="42"/>
      <c r="D7" s="42"/>
      <c r="E7" s="42"/>
    </row>
    <row r="8" spans="1:5" x14ac:dyDescent="0.25">
      <c r="A8">
        <v>4</v>
      </c>
      <c r="B8" s="42"/>
      <c r="C8" s="42"/>
      <c r="D8" s="42"/>
      <c r="E8" s="42"/>
    </row>
    <row r="9" spans="1:5" x14ac:dyDescent="0.25">
      <c r="A9">
        <v>5</v>
      </c>
      <c r="B9" s="42"/>
      <c r="C9" s="42"/>
      <c r="D9" s="42"/>
      <c r="E9" s="42"/>
    </row>
    <row r="12" spans="1:5" x14ac:dyDescent="0.25">
      <c r="B12" t="s">
        <v>65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B2:D107"/>
  <sheetViews>
    <sheetView topLeftCell="A73" zoomScale="63" zoomScaleNormal="63" workbookViewId="0">
      <selection activeCell="C101" sqref="C101:C106"/>
    </sheetView>
  </sheetViews>
  <sheetFormatPr baseColWidth="10" defaultRowHeight="15" x14ac:dyDescent="0.25"/>
  <cols>
    <col min="3" max="3" width="60.42578125" customWidth="1"/>
    <col min="4" max="4" width="58.28515625" customWidth="1"/>
  </cols>
  <sheetData>
    <row r="2" spans="2:4" x14ac:dyDescent="0.25">
      <c r="B2" s="86" t="s">
        <v>78</v>
      </c>
      <c r="C2" s="86" t="s">
        <v>79</v>
      </c>
      <c r="D2" s="86" t="s">
        <v>80</v>
      </c>
    </row>
    <row r="3" spans="2:4" x14ac:dyDescent="0.25">
      <c r="B3" s="87">
        <v>1</v>
      </c>
      <c r="C3" s="87" t="s">
        <v>2</v>
      </c>
      <c r="D3" s="87" t="s">
        <v>81</v>
      </c>
    </row>
    <row r="4" spans="2:4" x14ac:dyDescent="0.25">
      <c r="B4" s="87">
        <v>2</v>
      </c>
      <c r="C4" s="87" t="s">
        <v>4</v>
      </c>
      <c r="D4" s="87" t="s">
        <v>82</v>
      </c>
    </row>
    <row r="5" spans="2:4" x14ac:dyDescent="0.25">
      <c r="B5" s="87">
        <v>3</v>
      </c>
      <c r="C5" s="87" t="s">
        <v>6</v>
      </c>
      <c r="D5" s="87" t="s">
        <v>83</v>
      </c>
    </row>
    <row r="6" spans="2:4" x14ac:dyDescent="0.25">
      <c r="B6" s="87">
        <v>4</v>
      </c>
      <c r="C6" s="87" t="s">
        <v>7</v>
      </c>
      <c r="D6" s="87" t="s">
        <v>84</v>
      </c>
    </row>
    <row r="7" spans="2:4" x14ac:dyDescent="0.25">
      <c r="B7" s="87">
        <v>5</v>
      </c>
      <c r="C7" s="87" t="s">
        <v>85</v>
      </c>
      <c r="D7" s="87" t="s">
        <v>86</v>
      </c>
    </row>
    <row r="8" spans="2:4" ht="25.5" x14ac:dyDescent="0.25">
      <c r="B8" s="87">
        <v>6</v>
      </c>
      <c r="C8" s="87" t="s">
        <v>10</v>
      </c>
      <c r="D8" s="87" t="s">
        <v>87</v>
      </c>
    </row>
    <row r="9" spans="2:4" x14ac:dyDescent="0.25">
      <c r="B9" s="87">
        <v>7</v>
      </c>
      <c r="C9" s="87" t="s">
        <v>11</v>
      </c>
      <c r="D9" s="87" t="s">
        <v>88</v>
      </c>
    </row>
    <row r="10" spans="2:4" x14ac:dyDescent="0.25">
      <c r="B10" s="87">
        <v>8</v>
      </c>
      <c r="C10" s="87" t="s">
        <v>89</v>
      </c>
      <c r="D10" s="87" t="s">
        <v>90</v>
      </c>
    </row>
    <row r="11" spans="2:4" x14ac:dyDescent="0.25">
      <c r="B11" s="87">
        <v>9</v>
      </c>
      <c r="C11" s="87" t="s">
        <v>69</v>
      </c>
      <c r="D11" s="87" t="s">
        <v>110</v>
      </c>
    </row>
    <row r="12" spans="2:4" ht="25.5" x14ac:dyDescent="0.25">
      <c r="B12" s="87">
        <v>10</v>
      </c>
      <c r="C12" s="87" t="s">
        <v>109</v>
      </c>
      <c r="D12" s="87" t="s">
        <v>111</v>
      </c>
    </row>
    <row r="13" spans="2:4" x14ac:dyDescent="0.25">
      <c r="B13" s="87">
        <v>11</v>
      </c>
      <c r="C13" s="87" t="s">
        <v>112</v>
      </c>
      <c r="D13" s="87" t="s">
        <v>113</v>
      </c>
    </row>
    <row r="14" spans="2:4" x14ac:dyDescent="0.25">
      <c r="B14" s="87">
        <v>12</v>
      </c>
      <c r="C14" s="87" t="s">
        <v>114</v>
      </c>
      <c r="D14" s="87" t="s">
        <v>115</v>
      </c>
    </row>
    <row r="15" spans="2:4" ht="25.5" x14ac:dyDescent="0.25">
      <c r="B15" s="87">
        <v>13</v>
      </c>
      <c r="C15" s="87" t="s">
        <v>62</v>
      </c>
      <c r="D15" s="87" t="s">
        <v>116</v>
      </c>
    </row>
    <row r="16" spans="2:4" x14ac:dyDescent="0.25">
      <c r="B16" s="87">
        <v>14</v>
      </c>
      <c r="C16" s="87" t="s">
        <v>30</v>
      </c>
      <c r="D16" s="87" t="s">
        <v>117</v>
      </c>
    </row>
    <row r="17" spans="2:4" x14ac:dyDescent="0.25">
      <c r="B17" s="87">
        <v>15</v>
      </c>
      <c r="C17" s="87" t="s">
        <v>91</v>
      </c>
      <c r="D17" s="87" t="s">
        <v>108</v>
      </c>
    </row>
    <row r="18" spans="2:4" ht="25.5" x14ac:dyDescent="0.25">
      <c r="B18" s="87">
        <v>16</v>
      </c>
      <c r="C18" s="87" t="s">
        <v>92</v>
      </c>
      <c r="D18" s="87" t="s">
        <v>93</v>
      </c>
    </row>
    <row r="19" spans="2:4" ht="25.5" x14ac:dyDescent="0.25">
      <c r="B19" s="87">
        <v>17</v>
      </c>
      <c r="C19" s="87" t="s">
        <v>71</v>
      </c>
      <c r="D19" s="87" t="s">
        <v>118</v>
      </c>
    </row>
    <row r="20" spans="2:4" x14ac:dyDescent="0.25">
      <c r="B20" s="87">
        <v>18</v>
      </c>
      <c r="C20" s="87" t="s">
        <v>119</v>
      </c>
      <c r="D20" s="87" t="s">
        <v>120</v>
      </c>
    </row>
    <row r="21" spans="2:4" x14ac:dyDescent="0.25">
      <c r="B21" s="87">
        <v>19</v>
      </c>
      <c r="C21" s="87" t="s">
        <v>122</v>
      </c>
      <c r="D21" s="87" t="s">
        <v>113</v>
      </c>
    </row>
    <row r="22" spans="2:4" ht="25.5" x14ac:dyDescent="0.25">
      <c r="B22" s="87">
        <v>20</v>
      </c>
      <c r="C22" s="87" t="s">
        <v>94</v>
      </c>
      <c r="D22" s="87" t="s">
        <v>95</v>
      </c>
    </row>
    <row r="23" spans="2:4" ht="25.5" x14ac:dyDescent="0.25">
      <c r="B23" s="87">
        <v>21</v>
      </c>
      <c r="C23" s="87" t="s">
        <v>34</v>
      </c>
      <c r="D23" s="87" t="s">
        <v>124</v>
      </c>
    </row>
    <row r="24" spans="2:4" x14ac:dyDescent="0.25">
      <c r="B24" s="87">
        <v>22</v>
      </c>
      <c r="C24" s="87" t="s">
        <v>35</v>
      </c>
      <c r="D24" s="87" t="s">
        <v>125</v>
      </c>
    </row>
    <row r="25" spans="2:4" ht="63.75" x14ac:dyDescent="0.25">
      <c r="B25" s="87">
        <v>23</v>
      </c>
      <c r="C25" s="87" t="s">
        <v>36</v>
      </c>
      <c r="D25" s="87" t="s">
        <v>126</v>
      </c>
    </row>
    <row r="26" spans="2:4" ht="25.5" x14ac:dyDescent="0.25">
      <c r="B26" s="87">
        <v>24</v>
      </c>
      <c r="C26" s="87" t="s">
        <v>165</v>
      </c>
      <c r="D26" s="87" t="s">
        <v>167</v>
      </c>
    </row>
    <row r="27" spans="2:4" x14ac:dyDescent="0.25">
      <c r="B27" s="87">
        <v>25</v>
      </c>
      <c r="C27" s="87" t="s">
        <v>44</v>
      </c>
      <c r="D27" s="87" t="s">
        <v>127</v>
      </c>
    </row>
    <row r="28" spans="2:4" ht="25.5" x14ac:dyDescent="0.25">
      <c r="B28" s="87">
        <v>26</v>
      </c>
      <c r="C28" s="87" t="s">
        <v>45</v>
      </c>
      <c r="D28" s="87" t="s">
        <v>128</v>
      </c>
    </row>
    <row r="29" spans="2:4" ht="25.5" x14ac:dyDescent="0.25">
      <c r="B29" s="87">
        <v>27</v>
      </c>
      <c r="C29" s="87" t="s">
        <v>33</v>
      </c>
      <c r="D29" s="87" t="s">
        <v>129</v>
      </c>
    </row>
    <row r="30" spans="2:4" ht="25.5" x14ac:dyDescent="0.25">
      <c r="B30" s="87">
        <v>28</v>
      </c>
      <c r="C30" s="87" t="s">
        <v>32</v>
      </c>
      <c r="D30" s="87" t="s">
        <v>130</v>
      </c>
    </row>
    <row r="31" spans="2:4" ht="73.150000000000006" customHeight="1" x14ac:dyDescent="0.25">
      <c r="B31" s="87">
        <v>29</v>
      </c>
      <c r="C31" s="87" t="s">
        <v>219</v>
      </c>
      <c r="D31" s="87" t="s">
        <v>231</v>
      </c>
    </row>
    <row r="32" spans="2:4" ht="51" x14ac:dyDescent="0.25">
      <c r="B32" s="87">
        <v>30</v>
      </c>
      <c r="C32" s="87" t="s">
        <v>230</v>
      </c>
      <c r="D32" s="87" t="s">
        <v>232</v>
      </c>
    </row>
    <row r="33" spans="2:4" ht="114" customHeight="1" x14ac:dyDescent="0.25">
      <c r="B33" s="87">
        <v>31</v>
      </c>
      <c r="C33" s="87" t="s">
        <v>222</v>
      </c>
      <c r="D33" s="87" t="s">
        <v>233</v>
      </c>
    </row>
    <row r="34" spans="2:4" ht="111.4" customHeight="1" x14ac:dyDescent="0.25">
      <c r="B34" s="87">
        <v>32</v>
      </c>
      <c r="C34" s="87" t="s">
        <v>227</v>
      </c>
      <c r="D34" s="87" t="s">
        <v>234</v>
      </c>
    </row>
    <row r="35" spans="2:4" ht="147.4" customHeight="1" x14ac:dyDescent="0.25">
      <c r="B35" s="87">
        <v>33</v>
      </c>
      <c r="C35" s="87" t="s">
        <v>220</v>
      </c>
      <c r="D35" s="87" t="s">
        <v>235</v>
      </c>
    </row>
    <row r="36" spans="2:4" ht="159.4" customHeight="1" x14ac:dyDescent="0.25">
      <c r="B36" s="87">
        <v>34</v>
      </c>
      <c r="C36" s="87" t="s">
        <v>228</v>
      </c>
      <c r="D36" s="87" t="s">
        <v>236</v>
      </c>
    </row>
    <row r="37" spans="2:4" ht="51.4" customHeight="1" x14ac:dyDescent="0.25">
      <c r="B37" s="109" t="s">
        <v>131</v>
      </c>
      <c r="C37" s="109" t="s">
        <v>17</v>
      </c>
      <c r="D37" s="87" t="s">
        <v>96</v>
      </c>
    </row>
    <row r="38" spans="2:4" ht="33.4" customHeight="1" x14ac:dyDescent="0.25">
      <c r="B38" s="109"/>
      <c r="C38" s="109"/>
      <c r="D38" s="87" t="s">
        <v>97</v>
      </c>
    </row>
    <row r="39" spans="2:4" ht="51" x14ac:dyDescent="0.25">
      <c r="B39" s="87">
        <v>37</v>
      </c>
      <c r="C39" s="87" t="s">
        <v>221</v>
      </c>
      <c r="D39" s="87" t="s">
        <v>237</v>
      </c>
    </row>
    <row r="40" spans="2:4" ht="69" customHeight="1" x14ac:dyDescent="0.25">
      <c r="B40" s="87">
        <v>38</v>
      </c>
      <c r="C40" s="87" t="s">
        <v>229</v>
      </c>
      <c r="D40" s="87" t="s">
        <v>238</v>
      </c>
    </row>
    <row r="41" spans="2:4" ht="22.9" customHeight="1" x14ac:dyDescent="0.25">
      <c r="B41" s="87">
        <v>39</v>
      </c>
      <c r="C41" s="87" t="s">
        <v>166</v>
      </c>
      <c r="D41" s="87" t="s">
        <v>168</v>
      </c>
    </row>
    <row r="42" spans="2:4" ht="30" customHeight="1" x14ac:dyDescent="0.25">
      <c r="B42" s="87">
        <v>40</v>
      </c>
      <c r="C42" s="87" t="s">
        <v>44</v>
      </c>
      <c r="D42" s="87" t="s">
        <v>132</v>
      </c>
    </row>
    <row r="43" spans="2:4" ht="33.4" customHeight="1" x14ac:dyDescent="0.25">
      <c r="B43" s="87">
        <v>41</v>
      </c>
      <c r="C43" s="87" t="s">
        <v>45</v>
      </c>
      <c r="D43" s="87" t="s">
        <v>133</v>
      </c>
    </row>
    <row r="44" spans="2:4" x14ac:dyDescent="0.25">
      <c r="B44" s="87">
        <v>42</v>
      </c>
      <c r="C44" s="87" t="s">
        <v>33</v>
      </c>
      <c r="D44" s="87" t="s">
        <v>134</v>
      </c>
    </row>
    <row r="45" spans="2:4" x14ac:dyDescent="0.25">
      <c r="B45" s="87">
        <v>43</v>
      </c>
      <c r="C45" s="87" t="s">
        <v>32</v>
      </c>
      <c r="D45" s="87" t="s">
        <v>135</v>
      </c>
    </row>
    <row r="46" spans="2:4" ht="49.9" customHeight="1" x14ac:dyDescent="0.25">
      <c r="B46" s="87">
        <v>44</v>
      </c>
      <c r="C46" s="87" t="s">
        <v>219</v>
      </c>
      <c r="D46" s="87" t="s">
        <v>136</v>
      </c>
    </row>
    <row r="47" spans="2:4" ht="46.9" customHeight="1" x14ac:dyDescent="0.25">
      <c r="B47" s="87">
        <v>45</v>
      </c>
      <c r="C47" s="87" t="s">
        <v>230</v>
      </c>
      <c r="D47" s="87" t="s">
        <v>137</v>
      </c>
    </row>
    <row r="48" spans="2:4" ht="49.9" customHeight="1" x14ac:dyDescent="0.25">
      <c r="B48" s="87">
        <v>46</v>
      </c>
      <c r="C48" s="87" t="s">
        <v>222</v>
      </c>
      <c r="D48" s="87" t="s">
        <v>138</v>
      </c>
    </row>
    <row r="49" spans="2:4" ht="43.9" customHeight="1" x14ac:dyDescent="0.25">
      <c r="B49" s="87">
        <v>47</v>
      </c>
      <c r="C49" s="87" t="s">
        <v>239</v>
      </c>
      <c r="D49" s="87" t="s">
        <v>139</v>
      </c>
    </row>
    <row r="50" spans="2:4" ht="55.15" customHeight="1" x14ac:dyDescent="0.25">
      <c r="B50" s="87">
        <v>48</v>
      </c>
      <c r="C50" s="87" t="s">
        <v>220</v>
      </c>
      <c r="D50" s="87" t="s">
        <v>140</v>
      </c>
    </row>
    <row r="51" spans="2:4" ht="45.6" customHeight="1" x14ac:dyDescent="0.25">
      <c r="B51" s="87">
        <v>49</v>
      </c>
      <c r="C51" s="87" t="s">
        <v>228</v>
      </c>
      <c r="D51" s="87" t="s">
        <v>141</v>
      </c>
    </row>
    <row r="52" spans="2:4" x14ac:dyDescent="0.25">
      <c r="B52" s="87">
        <v>50</v>
      </c>
      <c r="C52" s="109" t="s">
        <v>17</v>
      </c>
      <c r="D52" s="110" t="s">
        <v>142</v>
      </c>
    </row>
    <row r="53" spans="2:4" x14ac:dyDescent="0.25">
      <c r="B53" s="87">
        <v>51</v>
      </c>
      <c r="C53" s="109"/>
      <c r="D53" s="110"/>
    </row>
    <row r="54" spans="2:4" ht="25.5" x14ac:dyDescent="0.25">
      <c r="B54" s="87">
        <v>52</v>
      </c>
      <c r="C54" s="87" t="s">
        <v>221</v>
      </c>
      <c r="D54" s="87" t="s">
        <v>143</v>
      </c>
    </row>
    <row r="55" spans="2:4" ht="25.5" x14ac:dyDescent="0.25">
      <c r="B55" s="87">
        <v>53</v>
      </c>
      <c r="C55" s="87" t="s">
        <v>229</v>
      </c>
      <c r="D55" s="87" t="s">
        <v>144</v>
      </c>
    </row>
    <row r="56" spans="2:4" ht="25.5" x14ac:dyDescent="0.25">
      <c r="B56" s="87">
        <v>54</v>
      </c>
      <c r="C56" s="87" t="s">
        <v>223</v>
      </c>
      <c r="D56" s="87" t="s">
        <v>145</v>
      </c>
    </row>
    <row r="57" spans="2:4" ht="25.5" x14ac:dyDescent="0.25">
      <c r="B57" s="87">
        <v>55</v>
      </c>
      <c r="C57" s="87" t="s">
        <v>240</v>
      </c>
      <c r="D57" s="87" t="s">
        <v>145</v>
      </c>
    </row>
    <row r="58" spans="2:4" ht="25.5" x14ac:dyDescent="0.25">
      <c r="B58" s="87">
        <v>56</v>
      </c>
      <c r="C58" s="87" t="s">
        <v>244</v>
      </c>
      <c r="D58" s="87" t="s">
        <v>145</v>
      </c>
    </row>
    <row r="59" spans="2:4" ht="25.5" x14ac:dyDescent="0.25">
      <c r="B59" s="87">
        <v>57</v>
      </c>
      <c r="C59" s="87" t="s">
        <v>241</v>
      </c>
      <c r="D59" s="87" t="s">
        <v>145</v>
      </c>
    </row>
    <row r="60" spans="2:4" ht="25.5" x14ac:dyDescent="0.25">
      <c r="B60" s="87">
        <v>58</v>
      </c>
      <c r="C60" s="87" t="s">
        <v>224</v>
      </c>
      <c r="D60" s="87" t="s">
        <v>145</v>
      </c>
    </row>
    <row r="61" spans="2:4" ht="25.5" x14ac:dyDescent="0.25">
      <c r="B61" s="87">
        <v>59</v>
      </c>
      <c r="C61" s="87" t="s">
        <v>242</v>
      </c>
      <c r="D61" s="87" t="s">
        <v>145</v>
      </c>
    </row>
    <row r="62" spans="2:4" x14ac:dyDescent="0.25">
      <c r="B62" s="87">
        <v>60</v>
      </c>
      <c r="C62" s="109" t="s">
        <v>17</v>
      </c>
      <c r="D62" s="110" t="s">
        <v>146</v>
      </c>
    </row>
    <row r="63" spans="2:4" x14ac:dyDescent="0.25">
      <c r="B63" s="87">
        <v>61</v>
      </c>
      <c r="C63" s="109"/>
      <c r="D63" s="110"/>
    </row>
    <row r="64" spans="2:4" ht="25.5" x14ac:dyDescent="0.25">
      <c r="B64" s="87">
        <v>62</v>
      </c>
      <c r="C64" s="87" t="s">
        <v>225</v>
      </c>
      <c r="D64" s="87" t="s">
        <v>145</v>
      </c>
    </row>
    <row r="65" spans="2:4" ht="25.5" x14ac:dyDescent="0.25">
      <c r="B65" s="87">
        <v>63</v>
      </c>
      <c r="C65" s="87" t="s">
        <v>243</v>
      </c>
      <c r="D65" s="87" t="s">
        <v>145</v>
      </c>
    </row>
    <row r="66" spans="2:4" ht="25.5" x14ac:dyDescent="0.25">
      <c r="B66" s="87">
        <v>64</v>
      </c>
      <c r="C66" s="87" t="s">
        <v>150</v>
      </c>
      <c r="D66" s="87" t="s">
        <v>148</v>
      </c>
    </row>
    <row r="67" spans="2:4" x14ac:dyDescent="0.25">
      <c r="B67" s="87">
        <v>65</v>
      </c>
      <c r="C67" s="87" t="s">
        <v>147</v>
      </c>
      <c r="D67" s="87" t="s">
        <v>149</v>
      </c>
    </row>
    <row r="68" spans="2:4" x14ac:dyDescent="0.25">
      <c r="B68" s="87">
        <v>66</v>
      </c>
      <c r="C68" s="87" t="s">
        <v>49</v>
      </c>
      <c r="D68" s="87" t="s">
        <v>151</v>
      </c>
    </row>
    <row r="69" spans="2:4" x14ac:dyDescent="0.25">
      <c r="B69" s="87">
        <v>67</v>
      </c>
      <c r="C69" s="110" t="s">
        <v>152</v>
      </c>
      <c r="D69" s="111" t="s">
        <v>156</v>
      </c>
    </row>
    <row r="70" spans="2:4" x14ac:dyDescent="0.25">
      <c r="B70" s="87">
        <v>68</v>
      </c>
      <c r="C70" s="110"/>
      <c r="D70" s="111"/>
    </row>
    <row r="71" spans="2:4" ht="32.65" customHeight="1" x14ac:dyDescent="0.25">
      <c r="B71" s="87">
        <v>69</v>
      </c>
      <c r="C71" s="110"/>
      <c r="D71" s="111"/>
    </row>
    <row r="72" spans="2:4" x14ac:dyDescent="0.25">
      <c r="B72" s="87">
        <v>70</v>
      </c>
      <c r="C72" s="108" t="s">
        <v>153</v>
      </c>
      <c r="D72" s="108" t="s">
        <v>154</v>
      </c>
    </row>
    <row r="73" spans="2:4" x14ac:dyDescent="0.25">
      <c r="B73" s="87">
        <v>71</v>
      </c>
      <c r="C73" s="108"/>
      <c r="D73" s="108"/>
    </row>
    <row r="74" spans="2:4" x14ac:dyDescent="0.25">
      <c r="B74" s="87">
        <v>72</v>
      </c>
      <c r="C74" s="108"/>
      <c r="D74" s="108"/>
    </row>
    <row r="75" spans="2:4" x14ac:dyDescent="0.25">
      <c r="B75" s="87">
        <v>73</v>
      </c>
      <c r="C75" s="108" t="s">
        <v>54</v>
      </c>
      <c r="D75" s="108" t="s">
        <v>155</v>
      </c>
    </row>
    <row r="76" spans="2:4" x14ac:dyDescent="0.25">
      <c r="B76" s="87">
        <v>74</v>
      </c>
      <c r="C76" s="108"/>
      <c r="D76" s="108"/>
    </row>
    <row r="77" spans="2:4" x14ac:dyDescent="0.25">
      <c r="B77" s="87">
        <v>75</v>
      </c>
      <c r="C77" s="108"/>
      <c r="D77" s="108"/>
    </row>
    <row r="78" spans="2:4" ht="30" x14ac:dyDescent="0.25">
      <c r="B78" s="87">
        <v>76</v>
      </c>
      <c r="C78" s="42" t="s">
        <v>58</v>
      </c>
      <c r="D78" s="85" t="s">
        <v>158</v>
      </c>
    </row>
    <row r="79" spans="2:4" ht="14.65" customHeight="1" x14ac:dyDescent="0.25">
      <c r="B79" s="87">
        <v>77</v>
      </c>
      <c r="C79" s="42" t="s">
        <v>56</v>
      </c>
      <c r="D79" s="85" t="s">
        <v>158</v>
      </c>
    </row>
    <row r="80" spans="2:4" ht="14.65" customHeight="1" x14ac:dyDescent="0.25">
      <c r="B80" s="87">
        <v>78</v>
      </c>
      <c r="C80" s="42" t="s">
        <v>157</v>
      </c>
      <c r="D80" s="85" t="s">
        <v>158</v>
      </c>
    </row>
    <row r="81" spans="2:4" x14ac:dyDescent="0.25">
      <c r="B81" s="87">
        <v>79</v>
      </c>
      <c r="C81" s="115" t="s">
        <v>199</v>
      </c>
      <c r="D81" s="115" t="s">
        <v>159</v>
      </c>
    </row>
    <row r="82" spans="2:4" x14ac:dyDescent="0.25">
      <c r="B82" s="87">
        <v>80</v>
      </c>
      <c r="C82" s="115"/>
      <c r="D82" s="115"/>
    </row>
    <row r="83" spans="2:4" x14ac:dyDescent="0.25">
      <c r="B83" s="87">
        <v>81</v>
      </c>
      <c r="C83" s="115"/>
      <c r="D83" s="115"/>
    </row>
    <row r="84" spans="2:4" x14ac:dyDescent="0.25">
      <c r="B84" s="87">
        <v>82</v>
      </c>
      <c r="C84" s="115"/>
      <c r="D84" s="115"/>
    </row>
    <row r="85" spans="2:4" x14ac:dyDescent="0.25">
      <c r="B85" s="87">
        <v>83</v>
      </c>
      <c r="C85" s="115"/>
      <c r="D85" s="115"/>
    </row>
    <row r="86" spans="2:4" x14ac:dyDescent="0.25">
      <c r="B86" s="87">
        <v>84</v>
      </c>
      <c r="C86" s="115" t="s">
        <v>59</v>
      </c>
      <c r="D86" s="115" t="s">
        <v>160</v>
      </c>
    </row>
    <row r="87" spans="2:4" x14ac:dyDescent="0.25">
      <c r="B87" s="87">
        <v>85</v>
      </c>
      <c r="C87" s="115"/>
      <c r="D87" s="115"/>
    </row>
    <row r="88" spans="2:4" x14ac:dyDescent="0.25">
      <c r="B88" s="87">
        <v>86</v>
      </c>
      <c r="C88" s="115"/>
      <c r="D88" s="115"/>
    </row>
    <row r="89" spans="2:4" x14ac:dyDescent="0.25">
      <c r="B89" s="87">
        <v>87</v>
      </c>
      <c r="C89" s="115"/>
      <c r="D89" s="115"/>
    </row>
    <row r="90" spans="2:4" x14ac:dyDescent="0.25">
      <c r="B90" s="87">
        <v>88</v>
      </c>
      <c r="C90" s="115"/>
      <c r="D90" s="115"/>
    </row>
    <row r="91" spans="2:4" x14ac:dyDescent="0.25">
      <c r="B91" s="87">
        <v>89</v>
      </c>
      <c r="C91" s="115" t="s">
        <v>60</v>
      </c>
      <c r="D91" s="115" t="s">
        <v>161</v>
      </c>
    </row>
    <row r="92" spans="2:4" x14ac:dyDescent="0.25">
      <c r="B92" s="87">
        <v>90</v>
      </c>
      <c r="C92" s="115"/>
      <c r="D92" s="115"/>
    </row>
    <row r="93" spans="2:4" x14ac:dyDescent="0.25">
      <c r="B93" s="87">
        <v>91</v>
      </c>
      <c r="C93" s="115"/>
      <c r="D93" s="115"/>
    </row>
    <row r="94" spans="2:4" x14ac:dyDescent="0.25">
      <c r="B94" s="87">
        <v>92</v>
      </c>
      <c r="C94" s="115"/>
      <c r="D94" s="115"/>
    </row>
    <row r="95" spans="2:4" x14ac:dyDescent="0.25">
      <c r="B95" s="87">
        <v>93</v>
      </c>
      <c r="C95" s="115"/>
      <c r="D95" s="115"/>
    </row>
    <row r="96" spans="2:4" x14ac:dyDescent="0.25">
      <c r="B96" s="87">
        <v>94</v>
      </c>
      <c r="C96" s="115" t="s">
        <v>61</v>
      </c>
      <c r="D96" s="115" t="s">
        <v>162</v>
      </c>
    </row>
    <row r="97" spans="2:4" x14ac:dyDescent="0.25">
      <c r="B97" s="87">
        <v>95</v>
      </c>
      <c r="C97" s="115"/>
      <c r="D97" s="115"/>
    </row>
    <row r="98" spans="2:4" x14ac:dyDescent="0.25">
      <c r="B98" s="87">
        <v>96</v>
      </c>
      <c r="C98" s="115"/>
      <c r="D98" s="115"/>
    </row>
    <row r="99" spans="2:4" x14ac:dyDescent="0.25">
      <c r="B99" s="87">
        <v>97</v>
      </c>
      <c r="C99" s="115"/>
      <c r="D99" s="115"/>
    </row>
    <row r="100" spans="2:4" x14ac:dyDescent="0.25">
      <c r="B100" s="87">
        <v>98</v>
      </c>
      <c r="C100" s="115"/>
      <c r="D100" s="115"/>
    </row>
    <row r="101" spans="2:4" ht="25.5" x14ac:dyDescent="0.25">
      <c r="B101" s="112">
        <v>99</v>
      </c>
      <c r="C101" s="116" t="s">
        <v>23</v>
      </c>
      <c r="D101" s="87" t="s">
        <v>98</v>
      </c>
    </row>
    <row r="102" spans="2:4" ht="25.5" x14ac:dyDescent="0.25">
      <c r="B102" s="113"/>
      <c r="C102" s="117"/>
      <c r="D102" s="88" t="s">
        <v>99</v>
      </c>
    </row>
    <row r="103" spans="2:4" ht="25.5" x14ac:dyDescent="0.25">
      <c r="B103" s="113"/>
      <c r="C103" s="117"/>
      <c r="D103" s="88" t="s">
        <v>100</v>
      </c>
    </row>
    <row r="104" spans="2:4" ht="25.5" x14ac:dyDescent="0.25">
      <c r="B104" s="113"/>
      <c r="C104" s="117"/>
      <c r="D104" s="88" t="s">
        <v>163</v>
      </c>
    </row>
    <row r="105" spans="2:4" ht="38.25" x14ac:dyDescent="0.25">
      <c r="B105" s="113"/>
      <c r="C105" s="117"/>
      <c r="D105" s="88" t="s">
        <v>101</v>
      </c>
    </row>
    <row r="106" spans="2:4" ht="25.5" x14ac:dyDescent="0.25">
      <c r="B106" s="114"/>
      <c r="C106" s="118"/>
      <c r="D106" s="88" t="s">
        <v>102</v>
      </c>
    </row>
    <row r="107" spans="2:4" x14ac:dyDescent="0.25">
      <c r="B107" s="87">
        <v>100</v>
      </c>
      <c r="C107" s="87" t="s">
        <v>28</v>
      </c>
      <c r="D107" s="87" t="s">
        <v>103</v>
      </c>
    </row>
  </sheetData>
  <mergeCells count="22">
    <mergeCell ref="B101:B106"/>
    <mergeCell ref="C75:C77"/>
    <mergeCell ref="D75:D77"/>
    <mergeCell ref="C81:C85"/>
    <mergeCell ref="D81:D85"/>
    <mergeCell ref="C86:C90"/>
    <mergeCell ref="D86:D90"/>
    <mergeCell ref="C91:C95"/>
    <mergeCell ref="D91:D95"/>
    <mergeCell ref="C96:C100"/>
    <mergeCell ref="D96:D100"/>
    <mergeCell ref="C101:C106"/>
    <mergeCell ref="C72:C74"/>
    <mergeCell ref="D72:D74"/>
    <mergeCell ref="C52:C53"/>
    <mergeCell ref="B37:B38"/>
    <mergeCell ref="C37:C38"/>
    <mergeCell ref="C62:C63"/>
    <mergeCell ref="D62:D63"/>
    <mergeCell ref="D52:D53"/>
    <mergeCell ref="D69:D71"/>
    <mergeCell ref="C69:C71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9.9978637043366805E-2"/>
  </sheetPr>
  <dimension ref="A1:CV6"/>
  <sheetViews>
    <sheetView workbookViewId="0">
      <selection activeCell="I10" sqref="I10"/>
    </sheetView>
  </sheetViews>
  <sheetFormatPr baseColWidth="10" defaultRowHeight="15" x14ac:dyDescent="0.25"/>
  <sheetData>
    <row r="1" spans="1:100" x14ac:dyDescent="0.25">
      <c r="A1">
        <v>20</v>
      </c>
      <c r="B1">
        <v>19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</row>
    <row r="3" spans="1:100" s="41" customFormat="1" ht="135" x14ac:dyDescent="0.25">
      <c r="A3" s="13" t="s">
        <v>5</v>
      </c>
      <c r="B3" s="98" t="s">
        <v>121</v>
      </c>
      <c r="C3" s="13" t="s">
        <v>2</v>
      </c>
      <c r="D3" s="13" t="s">
        <v>4</v>
      </c>
      <c r="E3" s="13" t="s">
        <v>6</v>
      </c>
      <c r="F3" s="13" t="s">
        <v>7</v>
      </c>
      <c r="G3" s="13" t="s">
        <v>8</v>
      </c>
      <c r="H3" s="13" t="s">
        <v>10</v>
      </c>
      <c r="I3" s="13" t="s">
        <v>11</v>
      </c>
      <c r="J3" s="13" t="s">
        <v>12</v>
      </c>
      <c r="K3" s="13" t="s">
        <v>69</v>
      </c>
      <c r="L3" s="13" t="s">
        <v>70</v>
      </c>
      <c r="M3" s="13" t="s">
        <v>29</v>
      </c>
      <c r="N3" s="13" t="s">
        <v>31</v>
      </c>
      <c r="O3" s="13" t="s">
        <v>62</v>
      </c>
      <c r="P3" s="13" t="s">
        <v>30</v>
      </c>
      <c r="Q3" s="13" t="s">
        <v>67</v>
      </c>
      <c r="R3" s="13" t="s">
        <v>68</v>
      </c>
      <c r="S3" s="13" t="s">
        <v>71</v>
      </c>
      <c r="T3" s="13" t="s">
        <v>66</v>
      </c>
      <c r="U3" s="13" t="s">
        <v>34</v>
      </c>
      <c r="V3" s="13" t="s">
        <v>35</v>
      </c>
      <c r="W3" s="13" t="s">
        <v>36</v>
      </c>
      <c r="X3" s="13" t="s">
        <v>172</v>
      </c>
      <c r="Y3" s="62" t="s">
        <v>174</v>
      </c>
      <c r="Z3" s="62" t="s">
        <v>175</v>
      </c>
      <c r="AA3" s="62" t="s">
        <v>176</v>
      </c>
      <c r="AB3" s="62" t="s">
        <v>177</v>
      </c>
      <c r="AC3" s="13" t="s">
        <v>245</v>
      </c>
      <c r="AD3" s="13" t="s">
        <v>246</v>
      </c>
      <c r="AE3" s="13" t="s">
        <v>247</v>
      </c>
      <c r="AF3" s="13" t="s">
        <v>248</v>
      </c>
      <c r="AG3" s="13" t="s">
        <v>249</v>
      </c>
      <c r="AH3" s="13" t="s">
        <v>250</v>
      </c>
      <c r="AI3" s="13" t="s">
        <v>251</v>
      </c>
      <c r="AJ3" s="13" t="s">
        <v>252</v>
      </c>
      <c r="AK3" s="13" t="s">
        <v>253</v>
      </c>
      <c r="AL3" s="13" t="s">
        <v>254</v>
      </c>
      <c r="AM3" s="13" t="s">
        <v>178</v>
      </c>
      <c r="AN3" s="62" t="s">
        <v>173</v>
      </c>
      <c r="AO3" s="62" t="s">
        <v>179</v>
      </c>
      <c r="AP3" s="62" t="s">
        <v>180</v>
      </c>
      <c r="AQ3" s="62" t="s">
        <v>181</v>
      </c>
      <c r="AR3" s="13" t="s">
        <v>255</v>
      </c>
      <c r="AS3" s="13" t="s">
        <v>256</v>
      </c>
      <c r="AT3" s="13" t="s">
        <v>257</v>
      </c>
      <c r="AU3" s="13" t="s">
        <v>258</v>
      </c>
      <c r="AV3" s="13" t="s">
        <v>259</v>
      </c>
      <c r="AW3" s="13" t="s">
        <v>260</v>
      </c>
      <c r="AX3" s="13" t="s">
        <v>261</v>
      </c>
      <c r="AY3" s="13" t="s">
        <v>262</v>
      </c>
      <c r="AZ3" s="13" t="s">
        <v>263</v>
      </c>
      <c r="BA3" s="13" t="s">
        <v>264</v>
      </c>
      <c r="BB3" s="13" t="s">
        <v>265</v>
      </c>
      <c r="BC3" s="13" t="s">
        <v>266</v>
      </c>
      <c r="BD3" s="13" t="s">
        <v>267</v>
      </c>
      <c r="BE3" s="13" t="s">
        <v>268</v>
      </c>
      <c r="BF3" s="13" t="s">
        <v>269</v>
      </c>
      <c r="BG3" s="13" t="s">
        <v>270</v>
      </c>
      <c r="BH3" s="13" t="s">
        <v>271</v>
      </c>
      <c r="BI3" s="13" t="s">
        <v>272</v>
      </c>
      <c r="BJ3" s="13" t="s">
        <v>273</v>
      </c>
      <c r="BK3" s="13" t="s">
        <v>274</v>
      </c>
      <c r="BL3" s="13" t="s">
        <v>47</v>
      </c>
      <c r="BM3" s="13" t="s">
        <v>48</v>
      </c>
      <c r="BN3" s="13" t="s">
        <v>49</v>
      </c>
      <c r="BO3" s="13" t="s">
        <v>50</v>
      </c>
      <c r="BP3" s="13" t="s">
        <v>52</v>
      </c>
      <c r="BQ3" s="13" t="s">
        <v>53</v>
      </c>
      <c r="BR3" s="13" t="s">
        <v>185</v>
      </c>
      <c r="BS3" s="13" t="s">
        <v>186</v>
      </c>
      <c r="BT3" s="13" t="s">
        <v>187</v>
      </c>
      <c r="BU3" s="13" t="s">
        <v>188</v>
      </c>
      <c r="BV3" s="13" t="s">
        <v>189</v>
      </c>
      <c r="BW3" s="13" t="s">
        <v>190</v>
      </c>
      <c r="BX3" s="13" t="s">
        <v>58</v>
      </c>
      <c r="BY3" s="13" t="s">
        <v>56</v>
      </c>
      <c r="BZ3" s="13" t="s">
        <v>57</v>
      </c>
      <c r="CA3" s="13" t="s">
        <v>191</v>
      </c>
      <c r="CB3" s="13" t="s">
        <v>192</v>
      </c>
      <c r="CC3" s="13" t="s">
        <v>193</v>
      </c>
      <c r="CD3" s="13" t="s">
        <v>194</v>
      </c>
      <c r="CE3" s="13" t="s">
        <v>195</v>
      </c>
      <c r="CF3" s="13" t="s">
        <v>201</v>
      </c>
      <c r="CG3" s="13" t="s">
        <v>202</v>
      </c>
      <c r="CH3" s="13" t="s">
        <v>203</v>
      </c>
      <c r="CI3" s="13" t="s">
        <v>204</v>
      </c>
      <c r="CJ3" s="13" t="s">
        <v>205</v>
      </c>
      <c r="CK3" s="13" t="s">
        <v>206</v>
      </c>
      <c r="CL3" s="13" t="s">
        <v>207</v>
      </c>
      <c r="CM3" s="13" t="s">
        <v>208</v>
      </c>
      <c r="CN3" s="13" t="s">
        <v>209</v>
      </c>
      <c r="CO3" s="13" t="s">
        <v>210</v>
      </c>
      <c r="CP3" s="13" t="s">
        <v>211</v>
      </c>
      <c r="CQ3" s="13" t="s">
        <v>212</v>
      </c>
      <c r="CR3" s="13" t="s">
        <v>213</v>
      </c>
      <c r="CS3" s="13" t="s">
        <v>214</v>
      </c>
      <c r="CT3" s="13" t="s">
        <v>215</v>
      </c>
      <c r="CU3" s="13" t="s">
        <v>23</v>
      </c>
      <c r="CV3" s="13" t="s">
        <v>216</v>
      </c>
    </row>
    <row r="4" spans="1:100" x14ac:dyDescent="0.25">
      <c r="A4" s="42">
        <v>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</row>
    <row r="5" spans="1:100" x14ac:dyDescent="0.25">
      <c r="A5" s="42">
        <v>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</row>
    <row r="6" spans="1:100" x14ac:dyDescent="0.25">
      <c r="A6" s="42">
        <v>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Diagnóstico General</vt:lpstr>
      <vt:lpstr>Brechas del negocio</vt:lpstr>
      <vt:lpstr>descripción campos</vt:lpstr>
      <vt:lpstr>Base de datos</vt:lpstr>
      <vt:lpstr>'Diagnóstico General'!Área_de_impresión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Pavez</dc:creator>
  <cp:lastModifiedBy>Mario Ariel Catalan Cabezas</cp:lastModifiedBy>
  <cp:lastPrinted>2020-10-16T18:52:43Z</cp:lastPrinted>
  <dcterms:created xsi:type="dcterms:W3CDTF">2020-10-09T14:31:49Z</dcterms:created>
  <dcterms:modified xsi:type="dcterms:W3CDTF">2026-06-16T17:31:39Z</dcterms:modified>
</cp:coreProperties>
</file>